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ZN108\Downloads\"/>
    </mc:Choice>
  </mc:AlternateContent>
  <xr:revisionPtr revIDLastSave="0" documentId="13_ncr:1_{872D61B9-5FB1-4DB2-B0F9-DF3455AFE673}" xr6:coauthVersionLast="47" xr6:coauthVersionMax="47" xr10:uidLastSave="{00000000-0000-0000-0000-000000000000}"/>
  <bookViews>
    <workbookView xWindow="-28920" yWindow="-870" windowWidth="29040" windowHeight="15720" tabRatio="885" xr2:uid="{00AD3E43-05CC-45FC-A0FF-E89A67A13665}"/>
  </bookViews>
  <sheets>
    <sheet name="2. LFA" sheetId="11" r:id="rId1"/>
  </sheets>
  <definedNames>
    <definedName name="_xlnm._FilterDatabase" localSheetId="0" hidden="1">'2. LFA'!$A$8:$BF$142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42" i="11" l="1"/>
  <c r="AI140" i="11"/>
  <c r="AI137" i="11"/>
  <c r="AK137" i="11" s="1"/>
  <c r="AD138" i="11"/>
  <c r="AF138" i="11" s="1"/>
  <c r="AD139" i="11"/>
  <c r="AF139" i="11" s="1"/>
  <c r="AD140" i="11"/>
  <c r="AF140" i="11" s="1"/>
  <c r="AD141" i="11"/>
  <c r="AF141" i="11" s="1"/>
  <c r="AD142" i="11"/>
  <c r="AB131" i="11"/>
  <c r="AF131" i="11" s="1"/>
  <c r="AB130" i="11"/>
  <c r="AF130" i="11" s="1"/>
  <c r="AB128" i="11"/>
  <c r="AF128" i="11" s="1"/>
  <c r="AE127" i="11"/>
  <c r="AF127" i="11"/>
  <c r="AE126" i="11"/>
  <c r="AB126" i="11"/>
  <c r="AF126" i="11" s="1"/>
  <c r="AE125" i="11"/>
  <c r="AF125" i="11"/>
  <c r="AE124" i="11"/>
  <c r="AF124" i="11" s="1"/>
  <c r="AE118" i="11"/>
  <c r="AF118" i="11"/>
  <c r="AE117" i="11"/>
  <c r="AF117" i="11"/>
  <c r="AE116" i="11"/>
  <c r="AF116" i="11"/>
  <c r="AE115" i="11"/>
  <c r="AF115" i="11"/>
  <c r="AE114" i="11"/>
  <c r="AF114" i="11"/>
  <c r="AG135" i="11"/>
  <c r="AK135" i="11" s="1"/>
  <c r="AG134" i="11"/>
  <c r="AK134" i="11" s="1"/>
  <c r="AG131" i="11"/>
  <c r="AK131" i="11" s="1"/>
  <c r="AG130" i="11"/>
  <c r="AK130" i="11" s="1"/>
  <c r="AG128" i="11"/>
  <c r="AK128" i="11" s="1"/>
  <c r="AJ127" i="11"/>
  <c r="AK127" i="11"/>
  <c r="AJ126" i="11"/>
  <c r="AG126" i="11"/>
  <c r="AJ125" i="11"/>
  <c r="AJ124" i="11"/>
  <c r="AJ118" i="11"/>
  <c r="AK118" i="11" s="1"/>
  <c r="AJ117" i="11"/>
  <c r="AK117" i="11" s="1"/>
  <c r="AJ116" i="11"/>
  <c r="AK116" i="11"/>
  <c r="AJ115" i="11"/>
  <c r="AK115" i="11"/>
  <c r="AJ114" i="11"/>
  <c r="AK114" i="11"/>
  <c r="AJ113" i="11"/>
  <c r="AK113" i="11" s="1"/>
  <c r="AE113" i="11"/>
  <c r="AF113" i="11" s="1"/>
  <c r="AH104" i="11"/>
  <c r="AK104" i="11" s="1"/>
  <c r="AH103" i="11"/>
  <c r="AK103" i="11" s="1"/>
  <c r="AH102" i="11"/>
  <c r="AH100" i="11"/>
  <c r="AK100" i="11"/>
  <c r="AK99" i="11"/>
  <c r="AI95" i="11"/>
  <c r="AK95" i="11"/>
  <c r="AI94" i="11"/>
  <c r="AK94" i="11"/>
  <c r="AI93" i="11"/>
  <c r="AK93" i="11"/>
  <c r="AK92" i="11"/>
  <c r="AK91" i="11"/>
  <c r="AI89" i="11"/>
  <c r="AK89" i="11" s="1"/>
  <c r="AI88" i="11"/>
  <c r="AK88" i="11" s="1"/>
  <c r="AI87" i="11"/>
  <c r="AK87" i="11"/>
  <c r="AI86" i="11"/>
  <c r="AK86" i="11"/>
  <c r="AI85" i="11"/>
  <c r="AK85" i="11" s="1"/>
  <c r="AI84" i="11"/>
  <c r="AK84" i="11" s="1"/>
  <c r="AI83" i="11"/>
  <c r="AK83" i="11" s="1"/>
  <c r="AI82" i="11"/>
  <c r="AK82" i="11" s="1"/>
  <c r="AI74" i="11"/>
  <c r="AK74" i="11" s="1"/>
  <c r="AJ73" i="11"/>
  <c r="AK73" i="11"/>
  <c r="AJ71" i="11"/>
  <c r="AI71" i="11"/>
  <c r="AG71" i="11"/>
  <c r="AJ70" i="11"/>
  <c r="AI70" i="11"/>
  <c r="AI68" i="11"/>
  <c r="AG68" i="11"/>
  <c r="AK68" i="11" s="1"/>
  <c r="AC104" i="11"/>
  <c r="AC103" i="11"/>
  <c r="AF103" i="11"/>
  <c r="AC102" i="11"/>
  <c r="AF102" i="11"/>
  <c r="AF101" i="11"/>
  <c r="AC100" i="11"/>
  <c r="AF99" i="11"/>
  <c r="AD93" i="11"/>
  <c r="AD92" i="11"/>
  <c r="AD91" i="11"/>
  <c r="AF91" i="11"/>
  <c r="AD90" i="11"/>
  <c r="AF89" i="11"/>
  <c r="AF88" i="11"/>
  <c r="AF87" i="11"/>
  <c r="AF86" i="11"/>
  <c r="AF85" i="11"/>
  <c r="AD83" i="11"/>
  <c r="AD82" i="11"/>
  <c r="AF74" i="11"/>
  <c r="AE73" i="11"/>
  <c r="AF73" i="11"/>
  <c r="AE71" i="11"/>
  <c r="AD71" i="11"/>
  <c r="AB71" i="11"/>
  <c r="AF71" i="11" s="1"/>
  <c r="AE70" i="11"/>
  <c r="AB70" i="11"/>
  <c r="AF70" i="11" s="1"/>
  <c r="AD68" i="11"/>
  <c r="AF68" i="11" s="1"/>
  <c r="AB68" i="11"/>
  <c r="AD67" i="11"/>
  <c r="AB67" i="11"/>
  <c r="AI67" i="11"/>
  <c r="AG67" i="11"/>
  <c r="AG45" i="11"/>
  <c r="AI45" i="11"/>
  <c r="AJ45" i="11"/>
  <c r="AG46" i="11"/>
  <c r="AI46" i="11"/>
  <c r="AJ46" i="11"/>
  <c r="AJ47" i="11"/>
  <c r="AK47" i="11" s="1"/>
  <c r="AI48" i="11"/>
  <c r="AK48" i="11" s="1"/>
  <c r="AJ48" i="11"/>
  <c r="AI49" i="11"/>
  <c r="AJ49" i="11"/>
  <c r="AK49" i="11" s="1"/>
  <c r="AI50" i="11"/>
  <c r="AK50" i="11" s="1"/>
  <c r="AI51" i="11"/>
  <c r="AK51" i="11" s="1"/>
  <c r="AB45" i="11"/>
  <c r="AF45" i="11" s="1"/>
  <c r="AD45" i="11"/>
  <c r="AE45" i="11"/>
  <c r="AB46" i="11"/>
  <c r="AD46" i="11"/>
  <c r="AE46" i="11"/>
  <c r="AE47" i="11"/>
  <c r="AE48" i="11"/>
  <c r="AE49" i="11"/>
  <c r="AF49" i="11" s="1"/>
  <c r="AD50" i="11"/>
  <c r="AF50" i="11" s="1"/>
  <c r="AD51" i="11"/>
  <c r="AF51" i="11" s="1"/>
  <c r="AI44" i="11"/>
  <c r="AJ44" i="11"/>
  <c r="AG44" i="11"/>
  <c r="AK44" i="11" s="1"/>
  <c r="AD44" i="11"/>
  <c r="AE44" i="11"/>
  <c r="AB44" i="11"/>
  <c r="AF44" i="11" s="1"/>
  <c r="AK142" i="11"/>
  <c r="AK140" i="11"/>
  <c r="AF135" i="11"/>
  <c r="AF134" i="11"/>
  <c r="AK133" i="11"/>
  <c r="AF133" i="11"/>
  <c r="AK132" i="11"/>
  <c r="AF132" i="11"/>
  <c r="AK129" i="11"/>
  <c r="AF129" i="11"/>
  <c r="AK126" i="11"/>
  <c r="AK125" i="11"/>
  <c r="AK124" i="11"/>
  <c r="AK121" i="11"/>
  <c r="AF121" i="11"/>
  <c r="AK120" i="11"/>
  <c r="AF120" i="11"/>
  <c r="AK119" i="11"/>
  <c r="AF119" i="11"/>
  <c r="AK112" i="11"/>
  <c r="AF112" i="11"/>
  <c r="AK111" i="11"/>
  <c r="AF111" i="11"/>
  <c r="AK110" i="11"/>
  <c r="AF110" i="11"/>
  <c r="AK109" i="11"/>
  <c r="AF109" i="11"/>
  <c r="AK108" i="11"/>
  <c r="AF108" i="11"/>
  <c r="AK107" i="11"/>
  <c r="AF107" i="11"/>
  <c r="AK106" i="11"/>
  <c r="AF106" i="11"/>
  <c r="AF104" i="11"/>
  <c r="AK102" i="11"/>
  <c r="AK101" i="11"/>
  <c r="AK98" i="11"/>
  <c r="AF98" i="11"/>
  <c r="AK97" i="11"/>
  <c r="AF97" i="11"/>
  <c r="AK96" i="11"/>
  <c r="AF96" i="11"/>
  <c r="AF92" i="11"/>
  <c r="AK90" i="11"/>
  <c r="AF90" i="11"/>
  <c r="AF84" i="11"/>
  <c r="AF83" i="11"/>
  <c r="AF82" i="11"/>
  <c r="AK81" i="11"/>
  <c r="AF81" i="11"/>
  <c r="AK80" i="11"/>
  <c r="AF80" i="11"/>
  <c r="AK79" i="11"/>
  <c r="AF79" i="11"/>
  <c r="AK78" i="11"/>
  <c r="AF78" i="11"/>
  <c r="AK77" i="11"/>
  <c r="AF77" i="11"/>
  <c r="AK76" i="11"/>
  <c r="AF76" i="11"/>
  <c r="AK75" i="11"/>
  <c r="AK72" i="11"/>
  <c r="AF72" i="11"/>
  <c r="AK71" i="11"/>
  <c r="AK70" i="11"/>
  <c r="AK69" i="11"/>
  <c r="AF69" i="11"/>
  <c r="AF67" i="11"/>
  <c r="AK66" i="11"/>
  <c r="AF66" i="11"/>
  <c r="AK65" i="11"/>
  <c r="AF65" i="11"/>
  <c r="AK64" i="11"/>
  <c r="AF64" i="11"/>
  <c r="AK62" i="11"/>
  <c r="AE62" i="11"/>
  <c r="AD62" i="11"/>
  <c r="AF62" i="11" s="1"/>
  <c r="AK61" i="11"/>
  <c r="AF61" i="11"/>
  <c r="AK60" i="11"/>
  <c r="AE60" i="11"/>
  <c r="AD60" i="11"/>
  <c r="AF60" i="11" s="1"/>
  <c r="AK59" i="11"/>
  <c r="AF59" i="11"/>
  <c r="AK58" i="11"/>
  <c r="AF58" i="11"/>
  <c r="AK57" i="11"/>
  <c r="AF57" i="11"/>
  <c r="AJ56" i="11"/>
  <c r="AK56" i="11" s="1"/>
  <c r="AE56" i="11"/>
  <c r="AB56" i="11"/>
  <c r="AF56" i="11" s="1"/>
  <c r="AK55" i="11"/>
  <c r="AF55" i="11"/>
  <c r="AK54" i="11"/>
  <c r="AF54" i="11"/>
  <c r="AK53" i="11"/>
  <c r="AF53" i="11"/>
  <c r="AF48" i="11"/>
  <c r="AF47" i="11"/>
  <c r="AF46" i="11"/>
  <c r="AK45" i="11"/>
  <c r="AK43" i="11"/>
  <c r="AF43" i="11"/>
  <c r="AK42" i="11"/>
  <c r="AF42" i="11"/>
  <c r="AK41" i="11"/>
  <c r="AF41" i="11"/>
  <c r="AK40" i="11"/>
  <c r="AF40" i="11"/>
  <c r="AK39" i="11"/>
  <c r="AF39" i="11"/>
  <c r="AK38" i="11"/>
  <c r="AF38" i="11"/>
  <c r="AK37" i="11"/>
  <c r="AF37" i="11"/>
  <c r="AK36" i="11"/>
  <c r="AF36" i="11"/>
  <c r="AK35" i="11"/>
  <c r="AF35" i="11"/>
  <c r="AK33" i="11"/>
  <c r="AF33" i="11"/>
  <c r="AK32" i="11"/>
  <c r="AF32" i="11"/>
  <c r="AG31" i="11"/>
  <c r="AK31" i="11" s="1"/>
  <c r="AF31" i="11"/>
  <c r="AK30" i="11"/>
  <c r="AF30" i="11"/>
  <c r="AK29" i="11"/>
  <c r="AF29" i="11"/>
  <c r="AK28" i="11"/>
  <c r="AF28" i="11"/>
  <c r="AK27" i="11"/>
  <c r="AF27" i="11"/>
  <c r="AK26" i="11"/>
  <c r="AF26" i="11"/>
  <c r="AK25" i="11"/>
  <c r="AF25" i="11"/>
  <c r="AK24" i="11"/>
  <c r="AF24" i="11"/>
  <c r="AK23" i="11"/>
  <c r="AF23" i="11"/>
  <c r="AK22" i="11"/>
  <c r="AF22" i="11"/>
  <c r="AK21" i="11"/>
  <c r="AF21" i="11"/>
  <c r="AK20" i="11"/>
  <c r="AF20" i="11"/>
  <c r="AK19" i="11"/>
  <c r="AF19" i="11"/>
  <c r="AK18" i="11"/>
  <c r="AF18" i="11"/>
  <c r="AK17" i="11"/>
  <c r="AF17" i="11"/>
  <c r="AK16" i="11"/>
  <c r="AF16" i="11"/>
  <c r="AK15" i="11"/>
  <c r="AF15" i="11"/>
  <c r="AK14" i="11"/>
  <c r="AF14" i="11"/>
  <c r="AK12" i="11"/>
  <c r="AF12" i="11"/>
  <c r="AK11" i="11"/>
  <c r="AF11" i="11"/>
  <c r="AK10" i="11"/>
  <c r="AF10" i="11"/>
  <c r="AK9" i="11"/>
  <c r="AF9" i="11"/>
  <c r="AK46" i="11" l="1"/>
  <c r="AK67" i="11"/>
  <c r="AF93" i="11"/>
  <c r="T82" i="11" l="1"/>
  <c r="V107" i="11" l="1"/>
  <c r="V108" i="11"/>
  <c r="V109" i="11"/>
  <c r="V110" i="11"/>
  <c r="V111" i="11"/>
  <c r="V112" i="11"/>
  <c r="AA109" i="11"/>
  <c r="AA110" i="11"/>
  <c r="AA111" i="11"/>
  <c r="AA112" i="11"/>
  <c r="AA107" i="11"/>
  <c r="AA108" i="11"/>
  <c r="AA106" i="11"/>
  <c r="V106" i="11"/>
  <c r="AA142" i="11" l="1"/>
  <c r="AM142" i="11" s="1"/>
  <c r="AN142" i="11" s="1"/>
  <c r="W126" i="11" l="1"/>
  <c r="R126" i="11"/>
  <c r="AA37" i="11" l="1"/>
  <c r="T62" i="11" l="1"/>
  <c r="T60" i="11"/>
  <c r="U60" i="11"/>
  <c r="U62" i="11"/>
  <c r="U46" i="11"/>
  <c r="U44" i="11"/>
  <c r="T92" i="11"/>
  <c r="T91" i="11"/>
  <c r="T90" i="11"/>
  <c r="T93" i="11"/>
  <c r="T94" i="11" s="1"/>
  <c r="S104" i="11"/>
  <c r="W128" i="11"/>
  <c r="R128" i="11"/>
  <c r="U127" i="11"/>
  <c r="Z70" i="11"/>
  <c r="Z56" i="11"/>
  <c r="AA56" i="11" s="1"/>
  <c r="AM56" i="11" s="1"/>
  <c r="U56" i="11"/>
  <c r="R56" i="11"/>
  <c r="T95" i="11" l="1"/>
  <c r="AD95" i="11" s="1"/>
  <c r="AF95" i="11" s="1"/>
  <c r="AD94" i="11"/>
  <c r="AF94" i="11" s="1"/>
  <c r="W31" i="11" l="1"/>
  <c r="AL9" i="11" l="1"/>
  <c r="Y141" i="11"/>
  <c r="O141" i="11"/>
  <c r="AI141" i="11" l="1"/>
  <c r="AK141" i="11" s="1"/>
  <c r="Y139" i="11"/>
  <c r="O139" i="11"/>
  <c r="Y138" i="11"/>
  <c r="AI138" i="11" s="1"/>
  <c r="AK138" i="11" s="1"/>
  <c r="O138" i="11"/>
  <c r="T137" i="11"/>
  <c r="AD137" i="11" s="1"/>
  <c r="AF137" i="11" s="1"/>
  <c r="J137" i="11"/>
  <c r="AI139" i="11" l="1"/>
  <c r="AK139" i="11" s="1"/>
  <c r="L138" i="11"/>
  <c r="L139" i="11"/>
  <c r="L140" i="11"/>
  <c r="L141" i="11"/>
  <c r="Q138" i="11"/>
  <c r="Q139" i="11"/>
  <c r="Q140" i="11"/>
  <c r="Q141" i="11"/>
  <c r="V138" i="11"/>
  <c r="V139" i="11"/>
  <c r="V140" i="11"/>
  <c r="V141" i="11"/>
  <c r="AA138" i="11"/>
  <c r="AA139" i="11"/>
  <c r="AA140" i="11"/>
  <c r="AA141" i="11"/>
  <c r="AA137" i="11"/>
  <c r="V137" i="11"/>
  <c r="Q137" i="11"/>
  <c r="L137" i="11"/>
  <c r="AL137" i="11" l="1"/>
  <c r="AM137" i="11"/>
  <c r="AM141" i="11"/>
  <c r="AL141" i="11"/>
  <c r="AM140" i="11"/>
  <c r="AL140" i="11"/>
  <c r="AM139" i="11"/>
  <c r="AL139" i="11"/>
  <c r="AM138" i="11"/>
  <c r="AL138" i="11"/>
  <c r="Z48" i="11"/>
  <c r="U48" i="11"/>
  <c r="AN138" i="11" l="1"/>
  <c r="AN141" i="11"/>
  <c r="AN139" i="11"/>
  <c r="AN137" i="11"/>
  <c r="AN140" i="11"/>
  <c r="Z123" i="11"/>
  <c r="Z122" i="11"/>
  <c r="U123" i="11"/>
  <c r="AE123" i="11" s="1"/>
  <c r="AF123" i="11" s="1"/>
  <c r="U122" i="11"/>
  <c r="P123" i="11"/>
  <c r="P122" i="11"/>
  <c r="K123" i="11"/>
  <c r="K122" i="11"/>
  <c r="P114" i="11"/>
  <c r="L27" i="11"/>
  <c r="Q27" i="11"/>
  <c r="V27" i="11"/>
  <c r="AA27" i="11"/>
  <c r="AA29" i="11"/>
  <c r="V29" i="11"/>
  <c r="Q29" i="11"/>
  <c r="L29" i="11"/>
  <c r="AA28" i="11"/>
  <c r="V28" i="11"/>
  <c r="Q28" i="11"/>
  <c r="L28" i="11"/>
  <c r="AJ123" i="11" l="1"/>
  <c r="AK123" i="11" s="1"/>
  <c r="AE122" i="11"/>
  <c r="AF122" i="11" s="1"/>
  <c r="AJ122" i="11"/>
  <c r="AK122" i="11" s="1"/>
  <c r="AM27" i="11"/>
  <c r="AL28" i="11"/>
  <c r="AL29" i="11"/>
  <c r="AM29" i="11"/>
  <c r="AL27" i="11"/>
  <c r="AM28" i="11"/>
  <c r="AN28" i="11"/>
  <c r="AN27" i="11"/>
  <c r="AN29" i="11"/>
  <c r="L81" i="11" l="1"/>
  <c r="Q81" i="11"/>
  <c r="V81" i="11"/>
  <c r="AA81" i="11"/>
  <c r="AA79" i="11"/>
  <c r="V79" i="11"/>
  <c r="Q79" i="11"/>
  <c r="L79" i="11"/>
  <c r="Q75" i="11"/>
  <c r="L102" i="11"/>
  <c r="L9" i="11"/>
  <c r="Q9" i="11"/>
  <c r="L10" i="11"/>
  <c r="Q10" i="11"/>
  <c r="L11" i="11"/>
  <c r="Q11" i="11"/>
  <c r="L12" i="11"/>
  <c r="Q12" i="11"/>
  <c r="L14" i="11"/>
  <c r="Q14" i="11"/>
  <c r="L15" i="11"/>
  <c r="Q15" i="11"/>
  <c r="L16" i="11"/>
  <c r="Q16" i="11"/>
  <c r="L17" i="11"/>
  <c r="Q17" i="11"/>
  <c r="L18" i="11"/>
  <c r="Q18" i="11"/>
  <c r="L19" i="11"/>
  <c r="Q19" i="11"/>
  <c r="L20" i="11"/>
  <c r="Q20" i="11"/>
  <c r="L21" i="11"/>
  <c r="Q21" i="11"/>
  <c r="L22" i="11"/>
  <c r="Q22" i="11"/>
  <c r="L23" i="11"/>
  <c r="Q23" i="11"/>
  <c r="L24" i="11"/>
  <c r="L25" i="11"/>
  <c r="Q25" i="11"/>
  <c r="L26" i="11"/>
  <c r="Q26" i="11"/>
  <c r="L30" i="11"/>
  <c r="Q30" i="11"/>
  <c r="L31" i="11"/>
  <c r="Q31" i="11"/>
  <c r="L32" i="11"/>
  <c r="Q32" i="11"/>
  <c r="L33" i="11"/>
  <c r="Q33" i="11"/>
  <c r="L35" i="11"/>
  <c r="Q35" i="11"/>
  <c r="L36" i="11"/>
  <c r="Q36" i="11"/>
  <c r="L37" i="11"/>
  <c r="Q37" i="11"/>
  <c r="L38" i="11"/>
  <c r="Q38" i="11"/>
  <c r="L39" i="11"/>
  <c r="Q39" i="11"/>
  <c r="L40" i="11"/>
  <c r="Q40" i="11"/>
  <c r="L41" i="11"/>
  <c r="Q41" i="11"/>
  <c r="L42" i="11"/>
  <c r="Q42" i="11"/>
  <c r="L43" i="11"/>
  <c r="Q43" i="11"/>
  <c r="L44" i="11"/>
  <c r="Q44" i="11"/>
  <c r="L45" i="11"/>
  <c r="Q45" i="11"/>
  <c r="L46" i="11"/>
  <c r="Q46" i="11"/>
  <c r="L47" i="11"/>
  <c r="Q47" i="11"/>
  <c r="L48" i="11"/>
  <c r="Q48" i="11"/>
  <c r="L49" i="11"/>
  <c r="Q49" i="11"/>
  <c r="L50" i="11"/>
  <c r="Q50" i="11"/>
  <c r="L51" i="11"/>
  <c r="Q51" i="11"/>
  <c r="L53" i="11"/>
  <c r="Q53" i="11"/>
  <c r="L54" i="11"/>
  <c r="Q54" i="11"/>
  <c r="L55" i="11"/>
  <c r="Q55" i="11"/>
  <c r="L56" i="11"/>
  <c r="Q56" i="11"/>
  <c r="L57" i="11"/>
  <c r="Q57" i="11"/>
  <c r="L58" i="11"/>
  <c r="Q58" i="11"/>
  <c r="L59" i="11"/>
  <c r="Q59" i="11"/>
  <c r="L60" i="11"/>
  <c r="Q60" i="11"/>
  <c r="L61" i="11"/>
  <c r="Q61" i="11"/>
  <c r="L62" i="11"/>
  <c r="Q62" i="11"/>
  <c r="L64" i="11"/>
  <c r="Q64" i="11"/>
  <c r="L65" i="11"/>
  <c r="Q65" i="11"/>
  <c r="L66" i="11"/>
  <c r="Q66" i="11"/>
  <c r="L67" i="11"/>
  <c r="Q67" i="11"/>
  <c r="L68" i="11"/>
  <c r="Q68" i="11"/>
  <c r="L69" i="11"/>
  <c r="Q69" i="11"/>
  <c r="L70" i="11"/>
  <c r="Q70" i="11"/>
  <c r="L71" i="11"/>
  <c r="Q71" i="11"/>
  <c r="L72" i="11"/>
  <c r="Q72" i="11"/>
  <c r="L73" i="11"/>
  <c r="Q73" i="11"/>
  <c r="L74" i="11"/>
  <c r="Q74" i="11"/>
  <c r="L75" i="11"/>
  <c r="L76" i="11"/>
  <c r="Q76" i="11"/>
  <c r="L77" i="11"/>
  <c r="Q77" i="11"/>
  <c r="L78" i="11"/>
  <c r="Q78" i="11"/>
  <c r="L80" i="11"/>
  <c r="Q80" i="11"/>
  <c r="L82" i="11"/>
  <c r="Q82" i="11"/>
  <c r="L83" i="11"/>
  <c r="Q83" i="11"/>
  <c r="L84" i="11"/>
  <c r="Q84" i="11"/>
  <c r="L85" i="11"/>
  <c r="Q85" i="11"/>
  <c r="L86" i="11"/>
  <c r="Q86" i="11"/>
  <c r="L87" i="11"/>
  <c r="Q87" i="11"/>
  <c r="L88" i="11"/>
  <c r="Q88" i="11"/>
  <c r="L89" i="11"/>
  <c r="Q89" i="11"/>
  <c r="L90" i="11"/>
  <c r="Q90" i="11"/>
  <c r="L91" i="11"/>
  <c r="Q91" i="11"/>
  <c r="L92" i="11"/>
  <c r="Q92" i="11"/>
  <c r="L93" i="11"/>
  <c r="Q93" i="11"/>
  <c r="L94" i="11"/>
  <c r="Q94" i="11"/>
  <c r="L95" i="11"/>
  <c r="Q95" i="11"/>
  <c r="L96" i="11"/>
  <c r="Q96" i="11"/>
  <c r="L97" i="11"/>
  <c r="Q97" i="11"/>
  <c r="L98" i="11"/>
  <c r="Q98" i="11"/>
  <c r="L99" i="11"/>
  <c r="Q99" i="11"/>
  <c r="L100" i="11"/>
  <c r="Q100" i="11"/>
  <c r="L101" i="11"/>
  <c r="Q101" i="11"/>
  <c r="Q102" i="11"/>
  <c r="L103" i="11"/>
  <c r="Q103" i="11"/>
  <c r="L104" i="11"/>
  <c r="Q104" i="11"/>
  <c r="L106" i="11"/>
  <c r="Q106" i="11"/>
  <c r="L107" i="11"/>
  <c r="Q107" i="11"/>
  <c r="L108" i="11"/>
  <c r="Q108" i="11"/>
  <c r="L109" i="11"/>
  <c r="Q109" i="11"/>
  <c r="L110" i="11"/>
  <c r="Q110" i="11"/>
  <c r="L111" i="11"/>
  <c r="Q111" i="11"/>
  <c r="L112" i="11"/>
  <c r="Q112" i="11"/>
  <c r="L113" i="11"/>
  <c r="Q113" i="11"/>
  <c r="L114" i="11"/>
  <c r="Q114" i="11"/>
  <c r="L115" i="11"/>
  <c r="Q115" i="11"/>
  <c r="L116" i="11"/>
  <c r="Q116" i="11"/>
  <c r="L117" i="11"/>
  <c r="Q117" i="11"/>
  <c r="L118" i="11"/>
  <c r="Q118" i="11"/>
  <c r="L119" i="11"/>
  <c r="Q119" i="11"/>
  <c r="L120" i="11"/>
  <c r="Q120" i="11"/>
  <c r="L121" i="11"/>
  <c r="Q121" i="11"/>
  <c r="L122" i="11"/>
  <c r="Q122" i="11"/>
  <c r="L123" i="11"/>
  <c r="Q123" i="11"/>
  <c r="L124" i="11"/>
  <c r="Q124" i="11"/>
  <c r="L125" i="11"/>
  <c r="Q125" i="11"/>
  <c r="L126" i="11"/>
  <c r="Q126" i="11"/>
  <c r="L127" i="11"/>
  <c r="Q127" i="11"/>
  <c r="L128" i="11"/>
  <c r="Q128" i="11"/>
  <c r="L129" i="11"/>
  <c r="Q129" i="11"/>
  <c r="L130" i="11"/>
  <c r="Q130" i="11"/>
  <c r="L131" i="11"/>
  <c r="Q131" i="11"/>
  <c r="L132" i="11"/>
  <c r="Q132" i="11"/>
  <c r="L133" i="11"/>
  <c r="Q133" i="11"/>
  <c r="L134" i="11"/>
  <c r="Q134" i="11"/>
  <c r="L135" i="11"/>
  <c r="Q135" i="11"/>
  <c r="AA10" i="11"/>
  <c r="AA11" i="11"/>
  <c r="AA12" i="11"/>
  <c r="AA14" i="11"/>
  <c r="AA15" i="11"/>
  <c r="AA16" i="11"/>
  <c r="AA17" i="11"/>
  <c r="AA18" i="11"/>
  <c r="AA19" i="11"/>
  <c r="AA20" i="11"/>
  <c r="AA21" i="11"/>
  <c r="AA22" i="11"/>
  <c r="AA23" i="11"/>
  <c r="AA24" i="11"/>
  <c r="AA25" i="11"/>
  <c r="AA26" i="11"/>
  <c r="AA30" i="11"/>
  <c r="AA31" i="11"/>
  <c r="AA32" i="11"/>
  <c r="AA33" i="11"/>
  <c r="AA35" i="11"/>
  <c r="AA36" i="11"/>
  <c r="AA38" i="11"/>
  <c r="AA39" i="11"/>
  <c r="AA40" i="11"/>
  <c r="AA41" i="11"/>
  <c r="AA42" i="11"/>
  <c r="AA43" i="11"/>
  <c r="AA44" i="11"/>
  <c r="AA45" i="11"/>
  <c r="AA46" i="11"/>
  <c r="AA47" i="11"/>
  <c r="AA48" i="11"/>
  <c r="AA49" i="11"/>
  <c r="AA50" i="11"/>
  <c r="AA51" i="11"/>
  <c r="AA53" i="11"/>
  <c r="AA54" i="11"/>
  <c r="AA55" i="11"/>
  <c r="AA57" i="11"/>
  <c r="AA58" i="11"/>
  <c r="AA59" i="11"/>
  <c r="AA60" i="11"/>
  <c r="AA61" i="11"/>
  <c r="AA62" i="11"/>
  <c r="AA64" i="11"/>
  <c r="AA65" i="11"/>
  <c r="AA66" i="11"/>
  <c r="AA67" i="11"/>
  <c r="AA68" i="11"/>
  <c r="AA69" i="11"/>
  <c r="AA70" i="11"/>
  <c r="AA71" i="11"/>
  <c r="AA72" i="11"/>
  <c r="AA73" i="11"/>
  <c r="AA74" i="11"/>
  <c r="AA75" i="11"/>
  <c r="AA76" i="11"/>
  <c r="AA77" i="11"/>
  <c r="AA78" i="11"/>
  <c r="AA80" i="11"/>
  <c r="AA82" i="11"/>
  <c r="AA83" i="11"/>
  <c r="AA84" i="11"/>
  <c r="AA85" i="11"/>
  <c r="AA86" i="11"/>
  <c r="AA87" i="11"/>
  <c r="AA88" i="11"/>
  <c r="AA89" i="11"/>
  <c r="AA90" i="11"/>
  <c r="AA91" i="11"/>
  <c r="AA92" i="11"/>
  <c r="AA93" i="11"/>
  <c r="AA94" i="11"/>
  <c r="AA95" i="11"/>
  <c r="AA96" i="11"/>
  <c r="AA97" i="11"/>
  <c r="AA98" i="11"/>
  <c r="AA99" i="11"/>
  <c r="AA100" i="11"/>
  <c r="AA101" i="11"/>
  <c r="AA102" i="11"/>
  <c r="AA103" i="11"/>
  <c r="AA104" i="11"/>
  <c r="AA113" i="11"/>
  <c r="AA114" i="11"/>
  <c r="AA115" i="11"/>
  <c r="AA116" i="11"/>
  <c r="AA117" i="11"/>
  <c r="AA118" i="11"/>
  <c r="AA119" i="11"/>
  <c r="AA120" i="11"/>
  <c r="AA121" i="11"/>
  <c r="AA122" i="11"/>
  <c r="AA123" i="11"/>
  <c r="AA124" i="11"/>
  <c r="AA125" i="11"/>
  <c r="AA126" i="11"/>
  <c r="AA127" i="11"/>
  <c r="AA128" i="11"/>
  <c r="AA129" i="11"/>
  <c r="AA130" i="11"/>
  <c r="AA131" i="11"/>
  <c r="AA132" i="11"/>
  <c r="AA133" i="11"/>
  <c r="AA134" i="11"/>
  <c r="AA135" i="11"/>
  <c r="AA9" i="11"/>
  <c r="V10" i="11"/>
  <c r="V11" i="11"/>
  <c r="V12" i="11"/>
  <c r="V14" i="11"/>
  <c r="V15" i="11"/>
  <c r="V16" i="11"/>
  <c r="V17" i="11"/>
  <c r="V18" i="11"/>
  <c r="V19" i="11"/>
  <c r="V20" i="11"/>
  <c r="V21" i="11"/>
  <c r="V22" i="11"/>
  <c r="V23" i="11"/>
  <c r="V24" i="11"/>
  <c r="V25" i="11"/>
  <c r="V26" i="11"/>
  <c r="V30" i="11"/>
  <c r="V31" i="11"/>
  <c r="V32" i="11"/>
  <c r="V33" i="11"/>
  <c r="V35" i="11"/>
  <c r="V36" i="11"/>
  <c r="V37" i="11"/>
  <c r="V38" i="11"/>
  <c r="V39" i="11"/>
  <c r="V40" i="11"/>
  <c r="V41" i="11"/>
  <c r="V42" i="11"/>
  <c r="V43" i="11"/>
  <c r="V44" i="11"/>
  <c r="V45" i="11"/>
  <c r="V46" i="11"/>
  <c r="V47" i="11"/>
  <c r="V48" i="11"/>
  <c r="V49" i="11"/>
  <c r="V50" i="11"/>
  <c r="V51" i="11"/>
  <c r="V53" i="11"/>
  <c r="V54" i="11"/>
  <c r="V55" i="11"/>
  <c r="V56" i="11"/>
  <c r="AL56" i="11" s="1"/>
  <c r="AN56" i="11" s="1"/>
  <c r="V57" i="11"/>
  <c r="V58" i="11"/>
  <c r="V59" i="11"/>
  <c r="V60" i="11"/>
  <c r="V61" i="11"/>
  <c r="V62" i="11"/>
  <c r="V64" i="11"/>
  <c r="V65" i="11"/>
  <c r="V66" i="11"/>
  <c r="V67" i="11"/>
  <c r="V68" i="11"/>
  <c r="V69" i="11"/>
  <c r="V70" i="11"/>
  <c r="V71" i="11"/>
  <c r="V72" i="11"/>
  <c r="V73" i="11"/>
  <c r="V74" i="11"/>
  <c r="V76" i="11"/>
  <c r="V77" i="11"/>
  <c r="V78" i="11"/>
  <c r="V80" i="11"/>
  <c r="V82" i="11"/>
  <c r="V83" i="11"/>
  <c r="V84" i="11"/>
  <c r="V85" i="11"/>
  <c r="V86" i="11"/>
  <c r="V87" i="11"/>
  <c r="V88" i="11"/>
  <c r="V89" i="11"/>
  <c r="V90" i="11"/>
  <c r="V91" i="11"/>
  <c r="V92" i="11"/>
  <c r="V93" i="11"/>
  <c r="V94" i="11"/>
  <c r="V95" i="11"/>
  <c r="V96" i="11"/>
  <c r="V97" i="11"/>
  <c r="V98" i="11"/>
  <c r="V99" i="11"/>
  <c r="V101" i="11"/>
  <c r="V102" i="11"/>
  <c r="V103" i="11"/>
  <c r="V104"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9" i="11"/>
  <c r="AM23" i="11" l="1"/>
  <c r="AL23" i="11"/>
  <c r="AL90" i="11"/>
  <c r="AL114" i="11"/>
  <c r="AM44" i="11"/>
  <c r="AN94" i="11"/>
  <c r="AL44" i="11"/>
  <c r="AM91" i="11"/>
  <c r="AM115" i="11"/>
  <c r="AM90" i="11"/>
  <c r="AL123" i="11"/>
  <c r="AL73" i="11"/>
  <c r="AM96" i="11"/>
  <c r="AM97" i="11"/>
  <c r="AM50" i="11"/>
  <c r="AL51" i="11"/>
  <c r="AM72" i="11"/>
  <c r="AL33" i="11"/>
  <c r="AM89" i="11"/>
  <c r="AM88" i="11"/>
  <c r="AM134" i="11"/>
  <c r="AL134" i="11"/>
  <c r="AL42" i="11"/>
  <c r="AL113" i="11"/>
  <c r="AL43" i="11"/>
  <c r="AM42" i="11"/>
  <c r="AM33" i="11"/>
  <c r="AM32" i="11"/>
  <c r="AL122" i="11"/>
  <c r="AL74" i="11"/>
  <c r="AL32" i="11"/>
  <c r="AM73" i="11"/>
  <c r="AM51" i="11"/>
  <c r="AM122" i="11"/>
  <c r="AM74" i="11"/>
  <c r="AM98" i="11"/>
  <c r="AL98" i="11"/>
  <c r="AL89" i="11"/>
  <c r="AM62" i="11"/>
  <c r="AM41" i="11"/>
  <c r="AL88" i="11"/>
  <c r="AL72" i="11"/>
  <c r="AL50" i="11"/>
  <c r="AL97" i="11"/>
  <c r="AM114" i="11"/>
  <c r="AM113" i="11"/>
  <c r="AM43" i="11"/>
  <c r="AM87" i="11"/>
  <c r="AL62" i="11"/>
  <c r="AL22" i="11"/>
  <c r="AL41" i="11"/>
  <c r="AM67" i="11"/>
  <c r="AM130" i="11"/>
  <c r="AM61" i="11"/>
  <c r="AL87" i="11"/>
  <c r="AM131" i="11"/>
  <c r="AL115" i="11"/>
  <c r="AL92" i="11"/>
  <c r="AL67" i="11"/>
  <c r="AL45" i="11"/>
  <c r="AL125" i="11"/>
  <c r="AL102" i="11"/>
  <c r="AM123" i="11"/>
  <c r="AM46" i="11"/>
  <c r="AM45" i="11"/>
  <c r="AM49" i="11"/>
  <c r="AM85" i="11"/>
  <c r="AL130" i="11"/>
  <c r="AM84" i="11"/>
  <c r="AM59" i="11"/>
  <c r="AM40" i="11"/>
  <c r="AL94" i="11"/>
  <c r="AM92" i="11"/>
  <c r="AL116" i="11"/>
  <c r="AL68" i="11"/>
  <c r="AL131" i="11"/>
  <c r="AM60" i="11"/>
  <c r="AL85" i="11"/>
  <c r="AL40" i="11"/>
  <c r="AM127" i="11"/>
  <c r="AM83" i="11"/>
  <c r="AL96" i="11"/>
  <c r="AL71" i="11"/>
  <c r="AL49" i="11"/>
  <c r="AM117" i="11"/>
  <c r="AM94" i="11"/>
  <c r="AM70" i="11"/>
  <c r="AM48" i="11"/>
  <c r="AL118" i="11"/>
  <c r="AL95" i="11"/>
  <c r="AL70" i="11"/>
  <c r="AL48" i="11"/>
  <c r="AM135" i="11"/>
  <c r="AM116" i="11"/>
  <c r="AM93" i="11"/>
  <c r="AM69" i="11"/>
  <c r="AM47" i="11"/>
  <c r="AL117" i="11"/>
  <c r="AL69" i="11"/>
  <c r="AL47" i="11"/>
  <c r="AM68" i="11"/>
  <c r="AL135" i="11"/>
  <c r="AL93" i="11"/>
  <c r="AL46" i="11"/>
  <c r="AL91" i="11"/>
  <c r="AM86" i="11"/>
  <c r="AL61" i="11"/>
  <c r="AL86" i="11"/>
  <c r="AL60" i="11"/>
  <c r="AM128" i="11"/>
  <c r="AL59" i="11"/>
  <c r="AL128" i="11"/>
  <c r="AL84" i="11"/>
  <c r="AM104" i="11"/>
  <c r="AM82" i="11"/>
  <c r="AM118" i="11"/>
  <c r="AM95" i="11"/>
  <c r="AM71" i="11"/>
  <c r="AM31" i="11"/>
  <c r="AL104" i="11"/>
  <c r="AL82" i="11"/>
  <c r="AM125" i="11"/>
  <c r="AM102" i="11"/>
  <c r="AL127" i="11"/>
  <c r="AL83" i="11"/>
  <c r="AM126" i="11"/>
  <c r="AM103" i="11"/>
  <c r="AL126" i="11"/>
  <c r="AL103" i="11"/>
  <c r="AL30" i="11"/>
  <c r="AM22" i="11"/>
  <c r="AL31" i="11"/>
  <c r="AM30" i="11"/>
  <c r="AM25" i="11"/>
  <c r="AL25" i="11"/>
  <c r="AL24" i="11"/>
  <c r="AM26" i="11"/>
  <c r="AL26" i="11"/>
  <c r="AN117" i="11"/>
  <c r="AN99" i="11"/>
  <c r="AN130" i="11"/>
  <c r="AN44" i="11"/>
  <c r="AN125" i="11"/>
  <c r="AN126" i="11"/>
  <c r="AN102" i="11"/>
  <c r="AN90" i="11"/>
  <c r="AN135" i="11"/>
  <c r="AN114" i="11"/>
  <c r="AN89" i="11"/>
  <c r="AN113" i="11"/>
  <c r="AN43" i="11"/>
  <c r="AN134" i="11"/>
  <c r="AN95" i="11"/>
  <c r="AN83" i="11"/>
  <c r="AN71" i="11"/>
  <c r="AN59" i="11"/>
  <c r="AN49" i="11"/>
  <c r="AN60" i="11"/>
  <c r="AN40" i="11"/>
  <c r="AN82" i="11"/>
  <c r="AN48" i="11"/>
  <c r="AN88" i="11"/>
  <c r="AN33" i="11"/>
  <c r="AN68" i="11"/>
  <c r="AN26" i="11"/>
  <c r="AN128" i="11"/>
  <c r="AN93" i="11"/>
  <c r="AN47" i="11"/>
  <c r="AN30" i="11"/>
  <c r="AN123" i="11"/>
  <c r="AN87" i="11"/>
  <c r="AN41" i="11"/>
  <c r="AN32" i="11"/>
  <c r="AN22" i="11"/>
  <c r="AN127" i="11"/>
  <c r="AN122" i="11"/>
  <c r="AN116" i="11"/>
  <c r="AN104" i="11"/>
  <c r="AN131" i="11"/>
  <c r="AN50" i="11"/>
  <c r="AN70" i="11"/>
  <c r="AN23" i="11"/>
  <c r="AN92" i="11"/>
  <c r="AN74" i="11"/>
  <c r="AN62" i="11"/>
  <c r="AN46" i="11"/>
  <c r="AN115" i="11"/>
  <c r="AN103" i="11"/>
  <c r="AN91" i="11"/>
  <c r="AN85" i="11"/>
  <c r="AN73" i="11"/>
  <c r="AN67" i="11"/>
  <c r="AN51" i="11"/>
  <c r="AN45" i="11"/>
  <c r="AN25" i="11"/>
  <c r="AN84" i="11"/>
  <c r="AN31" i="11"/>
  <c r="AN118" i="11"/>
  <c r="AN42" i="11"/>
  <c r="AN86" i="11"/>
  <c r="Q24" i="11" l="1"/>
  <c r="AN24" i="11" l="1"/>
  <c r="AM2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tc={16FD32FD-154B-4A92-8166-167FDEB97369}</author>
    <author>tc={B98A3B10-7370-4445-BE41-59EE87DBDEBF}</author>
    <author>tc={5A6B8FEC-D66D-4658-9B64-AC8837175D1C}</author>
    <author>tc={70F7F616-B66B-474B-9D0E-BAAC80A3646A}</author>
  </authors>
  <commentList>
    <comment ref="Y74" authorId="0" shapeId="0" xr:uid="{16FD32FD-154B-4A92-8166-167FDEB97369}">
      <text>
        <t>[Threaded comment]
Your version of Excel allows you to read this threaded comment; however, any edits to it will get removed if the file is opened in a newer version of Excel. Learn more: https://go.microsoft.com/fwlink/?linkid=870924
Comment:
    Due to a clerical error, this target was reported in 2026 as 3, but this is a mistake, target should be 2. Nothing reported in change log, budget, or narrative. Total target = 2.</t>
      </text>
    </comment>
    <comment ref="AI74" authorId="1" shapeId="0" xr:uid="{B98A3B10-7370-4445-BE41-59EE87DBDEBF}">
      <text>
        <t>[Threaded comment]
Your version of Excel allows you to read this threaded comment; however, any edits to it will get removed if the file is opened in a newer version of Excel. Learn more: https://go.microsoft.com/fwlink/?linkid=870924
Comment:
    Due to a clerical error, this target was reported in 2026 as 3, but this is a mistake, target should be 2. Nothing reported in change log, budget, or narrative. Total target = 2.</t>
      </text>
    </comment>
    <comment ref="T82" authorId="2" shapeId="0" xr:uid="{5A6B8FEC-D66D-4658-9B64-AC8837175D1C}">
      <text>
        <t>[Threaded comment]
Your version of Excel allows you to read this threaded comment; however, any edits to it will get removed if the file is opened in a newer version of Excel. Learn more: https://go.microsoft.com/fwlink/?linkid=870924
Comment:
    Prior to donor submission, the total students in the school was unknown, but since 10 May, this number has been updated to reflect 350 students per school.</t>
      </text>
    </comment>
    <comment ref="AD82" authorId="3" shapeId="0" xr:uid="{70F7F616-B66B-474B-9D0E-BAAC80A3646A}">
      <text>
        <t>[Threaded comment]
Your version of Excel allows you to read this threaded comment; however, any edits to it will get removed if the file is opened in a newer version of Excel. Learn more: https://go.microsoft.com/fwlink/?linkid=870924
Comment:
    Prior to donor submission, the total students in the school was unknown, but since 10 May, this number has been updated to reflect 350 students per school.</t>
      </text>
    </comment>
  </commentList>
</comments>
</file>

<file path=xl/sharedStrings.xml><?xml version="1.0" encoding="utf-8"?>
<sst xmlns="http://schemas.openxmlformats.org/spreadsheetml/2006/main" count="758" uniqueCount="472">
  <si>
    <t>Aleppo</t>
  </si>
  <si>
    <t>R.Damascus</t>
  </si>
  <si>
    <t>Donor Approval Date:</t>
  </si>
  <si>
    <t>Life Of Programme:</t>
  </si>
  <si>
    <t>1 February 2025 - 31 July 2026</t>
  </si>
  <si>
    <t>TITLE:</t>
  </si>
  <si>
    <t>Project Management Toolkit (PMT)</t>
  </si>
  <si>
    <t>Resilience Outcome</t>
  </si>
  <si>
    <t>Implementing</t>
  </si>
  <si>
    <t>Actual Target split per partner 2025</t>
  </si>
  <si>
    <t>Actual Target split per partner (7 months of 2026)</t>
  </si>
  <si>
    <t>Overall 18 months target
Updated</t>
  </si>
  <si>
    <t>Definitions</t>
  </si>
  <si>
    <t>Corresponding Indicator(s)</t>
  </si>
  <si>
    <t>Indicator Level</t>
  </si>
  <si>
    <t>PARTNER</t>
  </si>
  <si>
    <t>ALEPPO</t>
  </si>
  <si>
    <t>DRC</t>
  </si>
  <si>
    <t>IMC</t>
  </si>
  <si>
    <t>NRC</t>
  </si>
  <si>
    <t>OXF</t>
  </si>
  <si>
    <t>Total</t>
  </si>
  <si>
    <t>R. Damascus</t>
  </si>
  <si>
    <r>
      <t xml:space="preserve">Goal: </t>
    </r>
    <r>
      <rPr>
        <sz val="8"/>
        <rFont val="Calibri"/>
        <family val="2"/>
      </rPr>
      <t xml:space="preserve">The resilience capacities and socio-economic well-being of crisis-affected people, households, and communities </t>
    </r>
    <r>
      <rPr>
        <b/>
        <sz val="8"/>
        <rFont val="Calibri"/>
        <family val="2"/>
      </rPr>
      <t>in affected areas</t>
    </r>
    <r>
      <rPr>
        <sz val="8"/>
        <rFont val="Calibri"/>
        <family val="2"/>
      </rPr>
      <t xml:space="preserve"> have been strengthened</t>
    </r>
  </si>
  <si>
    <t>% of participants reporting a strengthened sense of socio-economic well-being as a result of program activities (disaggregated by GAD)</t>
  </si>
  <si>
    <t>Impact 1</t>
  </si>
  <si>
    <t>Socio-economic well-being defined by "Taxonomy of WB Indicators" developed by the University of Bath’s Research Group on Well-Being in Developing Countries (WeD) .</t>
  </si>
  <si>
    <t>% of targeted community members reporting an improved sense of dignity/self-esteem.</t>
  </si>
  <si>
    <t>Impact 2</t>
  </si>
  <si>
    <t>This indicator measures the percentage of targeted community members who report experiencing an improvement in their sense of dignity and self-esteem. It aims to assess the impact of interventions or activities across multiple sectors on the overall well-being and self-perception of community members. The indicator goes beyond the specific-sector activities and examines the broader impact of multi-sector approaches and pathways on individuals' sense of dignity and self-esteem.
To collect data for this indicator, surveys, interviews, or focus group discussions can be conducted with targeted community members. The data should capture their self-reported perceptions and experiences related to their sense of dignity and self-esteem. This may include aspects such as feelings of empowerment, respect, autonomy, self-worth, and confidence.</t>
  </si>
  <si>
    <t>% households improved SRI score baseline vs midline/ endline</t>
  </si>
  <si>
    <t>Impact 3</t>
  </si>
  <si>
    <t>Self-Reliance: The social and economic ability of an individual, a household or a community to meet its essential needs in a sustainable manner.</t>
  </si>
  <si>
    <t>% of targeted community members reporting improved sense of social inclusion</t>
  </si>
  <si>
    <t>Impact 4</t>
  </si>
  <si>
    <t>Sense of social inclusion' refers It encompasses feelings of belonging, acceptance, and connection with others, as well as opportunities for meaningful engagement and involvement in social, economic, without facing discrimination or exclusion.</t>
  </si>
  <si>
    <t>Pathway 1: Food Security and Climate-Sensitive Production</t>
  </si>
  <si>
    <r>
      <rPr>
        <b/>
        <sz val="9"/>
        <color rgb="FF000000"/>
        <rFont val="Calibri"/>
        <family val="2"/>
      </rPr>
      <t xml:space="preserve">Objective 1: </t>
    </r>
    <r>
      <rPr>
        <sz val="9"/>
        <color rgb="FF000000"/>
        <rFont val="Calibri"/>
        <family val="2"/>
      </rPr>
      <t>Crisis-affected households have increased food production for consumption and/or income by using climate-sensitive agriculture production practices</t>
    </r>
  </si>
  <si>
    <t>% of participants (farmers/HHs) with improved knowledge, skills, and resources applying sustainable agriculture &amp; food production practices (e.g. conservation agriculture, Climate Smart Agriculture (CSA)</t>
  </si>
  <si>
    <t>Objective 1.1</t>
  </si>
  <si>
    <t>Participants - Individuals farmers and households who were targeted/ benefited directly through any project interventions would be considered participants). The indicators measures the change in agriculture and food production practices due to improved knoweldge, skills and resources provided through the project interventions. The indicator will measure the actual application of sustainable farming and food production practices by participants supported under this project.</t>
  </si>
  <si>
    <t>% of Households (HHs) reporting increase availability and diversification of food products for consumption</t>
  </si>
  <si>
    <t>Objective 1.2</t>
  </si>
  <si>
    <t>Availability and diversification of food production for ( consumption or/and income ) refer to in the variety and quantity of food products available for both consumption and generating income.This indicator assesses improvements in food security and livelihoods by tracking changes in the range of food items accessible to households, which can contribute to a more balanced and nutritious diet as well as additional sources of income through surplus production or sales. It reflects efforts to enhance agricultural productivity, promote sustainable livelihoods, and improve overall well-being within communities.</t>
  </si>
  <si>
    <t>% of households reporting increased income from agriculture &amp; food production activities to cover the basic needs</t>
  </si>
  <si>
    <t>Objective 1.3</t>
  </si>
  <si>
    <t>the indicator "increase in income" measures the percentage income in the income earned from the actual yield of food and agricultural production reported at the household (HH) and area levels. Income represents the money earned through sale of produce which is sufficient enough to cover basic needs (fully or partially) as per MEB.</t>
  </si>
  <si>
    <r>
      <rPr>
        <b/>
        <sz val="9"/>
        <color rgb="FF000000"/>
        <rFont val="Calibri"/>
        <family val="2"/>
      </rPr>
      <t xml:space="preserve">Outcome 1.1: </t>
    </r>
    <r>
      <rPr>
        <sz val="9"/>
        <color rgb="FF000000"/>
        <rFont val="Calibri"/>
        <family val="2"/>
      </rPr>
      <t>Crisis-affected communities have increased production capacities and improved resilience to climate shocks</t>
    </r>
  </si>
  <si>
    <t>% of households reporting increase production of food or cash crops (eg. Yield of hectare, ton of production per hectare, etc.)</t>
  </si>
  <si>
    <t>Outcome 1.1.1</t>
  </si>
  <si>
    <t>Measures the percentage of households within a target location that report an augmentation in the output of either food crops or cash crops over a defined period.increase in production can be assessed through various metrics, such as:
Yield per hectare: The quantity of crops harvested per unit area of land (hectare). This can be measured in terms of weight (e.g., tons, kilograms) or other relevant units.
Total production: The overall volume or quantity of crops harvested by a household, regardless of the land area utilized for cultivation. the indicator also measures the percentage decrease in the difference between the actual yield and the potential yield of agricultural production reported at the household (HH) and area levels.
Production gaps represent the difference between what is currently being produced and what could be produced under optimal conditions. By quantifying this reduction as a percentage, the indicator evaluates improvements in agricultural productivity and efficiency. It reflects efforts to bridge the disparity between actual and potential yields through interventions such as improved farming practices, access to inputs, and better management techniques. Reducing production gaps contributes to increased food security, income generation, etc.</t>
  </si>
  <si>
    <t>% change in the proportion of households into the acceptable FCS category as compared to baseline (disaggregated by GAD)</t>
  </si>
  <si>
    <t>Outcome 1.1.2</t>
  </si>
  <si>
    <t>Food Consumption Score (FCS) - The FCS aggregates household-level data on the diversity and frequency of food groups consumed over the previous seven days, which is then weighted according to the relative nutritional value of the consumed food groups. Recommended to review the weighting based on the Minimum Expenditure Basket (MEB) for the context. It suggested that the indicator be measured with participants not receiving food security assistance directly as well.</t>
  </si>
  <si>
    <t>% of farmers/households reporting increased knowledge and resources to their preparedness for early action to climate shocks</t>
  </si>
  <si>
    <t>Outcome 1.1.3</t>
  </si>
  <si>
    <t>he indicator "% of farmers reporting increased knowledge and resources for their preparedness for early action to climate shocks" measures the percentage of farmers within a specified population who report improvements in their understanding and access to resources necessary to anticipate, mitigate, and respond to climate-related hazards in a timely manner.
This indicator assesses:
Knowledge enhancement: The extent to which farmers have gained insights into climate change impacts, weather patterns, and associated risks, as well as understanding of adaptive strategies and early warning systems.
Resource availability: The availability of tools, technologies, inputs, financial resources, and support services needed to implement proactive measures and prepare for climate shocks, such as droughts, floods, extreme temperatures, and changes in precipitation patterns.
By tracking changes in farmers' knowledge and access to resources, this indicator provides insights into their capacity to adapt to climate variability and extreme events, reduce vulnerability, and enhance resilience in agriculture. It reflects efforts to empower farmers with the information and means to take early action, minimize losses, protect livelihoods, and sustain agricultural productivity in the face of climate change challenges.</t>
  </si>
  <si>
    <t>% of farmers households reporting sustainable availability of food &amp; agriculture production inputs /resource and services</t>
  </si>
  <si>
    <t>Outcome 1.1.4</t>
  </si>
  <si>
    <t>Measures the proportion of farmers within a target area who report experiencing a rise in the accessibility and continuity of essential agricultural inputs and resources needed for farming activities. These inputs and resources may include seeds, fertilizers, pesticides, water, land, machinery, knowledge, and financial support.</t>
  </si>
  <si>
    <t>% farmers/HHs reporting adoption of positive coping strategies in their farming and/or food access practices</t>
  </si>
  <si>
    <t>Outcome 1.1.5</t>
  </si>
  <si>
    <t>Positive coping strategies" refer to approaches and techniques that enable farmers to navigate difficulties and uncertainties while maintaining or improving their livelihoods and agricultural productivity. These strategies may include:
Diversification: Cultivating a variety of crops or engaging in multiple income-generating activities to spread risk and enhance resilience to market fluctuations or climate variability.
Conservation agriculture: Implementing practices such as minimal soil disturbance, soil cover maintenance, and crop rotation to improve soil health, water retention, and overall farm sustainability.
Climate-smart agriculture: Adopting practices and technologies that help mitigate the impacts of climate change, such as water-saving irrigation methods, drought-resistant crop varieties, and agroforestry systems.
Integrated pest management: Using a combination of biological, cultural, and chemical methods to manage pests and diseases while minimizing environmental impacts.
Accessing support services: Utilizing extension services, training programs, financial assistance, and market information to enhance farming skills, access resources, and improve decision-making.
This indicator reflects the adaptive capacity and resilience of farming communities and evaluates the effectiveness of interventions aimed at empowering farmers with the knowledge, skills, and resources needed to cope with challenges and thrive in dynamic agricultural environments.</t>
  </si>
  <si>
    <r>
      <rPr>
        <b/>
        <sz val="9"/>
        <color rgb="FF000000"/>
        <rFont val="Calibri"/>
        <family val="2"/>
      </rPr>
      <t xml:space="preserve">Output 1.1.1: </t>
    </r>
    <r>
      <rPr>
        <sz val="9"/>
        <color rgb="FF000000"/>
        <rFont val="Calibri"/>
        <family val="2"/>
      </rPr>
      <t>Households are equipped with skills and materials for food production and processing</t>
    </r>
  </si>
  <si>
    <t># of individuals trained in skills related to Food and Agricultural Systems</t>
  </si>
  <si>
    <t>Output 1.1.1.1</t>
  </si>
  <si>
    <t>This indicator measures the number of people who have received instruction and education in food safety standards, practices, and nutrition-related topics, particularly focusing on technical aspects of food production, handling, and distribution.</t>
  </si>
  <si>
    <t># of farmers/HH who have received agriculture/food production and processing inputs (cash/in-kind)</t>
  </si>
  <si>
    <t>Output 1.1.1.2</t>
  </si>
  <si>
    <t>This indicator measure the quality and type of agricultural /food production inputs provided through the cash /in-kind modalities</t>
  </si>
  <si>
    <r>
      <rPr>
        <b/>
        <sz val="9"/>
        <rFont val="Calibri"/>
        <family val="2"/>
      </rPr>
      <t xml:space="preserve">Output 1.1.3: </t>
    </r>
    <r>
      <rPr>
        <sz val="9"/>
        <rFont val="Calibri"/>
        <family val="2"/>
      </rPr>
      <t>Climate Resilience Assessment conducted</t>
    </r>
  </si>
  <si>
    <t># of studies conducted to design context-specific programming for drought affected communities in the agricultural sector</t>
  </si>
  <si>
    <t>Output 1.1.3.1</t>
  </si>
  <si>
    <t>This indicator will measure the numbers of climate resilence assessment conducted to identify:
Adaptation Strategies: Climate change studies help identify how changing climatic conditions will affect crop yields, water availability, pest and disease prevalence, and other agricultural factors. This information enables the development and implementation of adaptation strategies to mitigate negative impacts and maintain or increase agricultural productivity.
Improved Resilience: Understanding climate change risks allows farmers, policymakers, and agricultural stakeholders to build resilience within the agriculture sector. This may involve promoting climate-smart agricultural practices, such as conservation agriculture, agroforestry, crop diversification, and improved water management, which can enhance the sector's ability to withstand climate-related shocks and stresses.
Market Opportunities: Understanding climate change impacts on agricultural production can create opportunities for new markets, products, and services. For example, there may be increased demand for drought-resistant crop varieties, climate-resilient farming technologies, weather-indexed insurance products, and carbon sequestration initiatives, presenting opportunities for innovation and entrepreneurship within the agriculture sector.</t>
  </si>
  <si>
    <r>
      <rPr>
        <b/>
        <sz val="9"/>
        <color rgb="FF000000"/>
        <rFont val="Calibri"/>
        <family val="2"/>
      </rPr>
      <t>Output 1.1.4</t>
    </r>
    <r>
      <rPr>
        <sz val="9"/>
        <color rgb="FF000000"/>
        <rFont val="Calibri"/>
        <family val="2"/>
      </rPr>
      <t>: Farmer’s Associations are supported on technical and institutional governance</t>
    </r>
  </si>
  <si>
    <t># of farmer's associations provided with technical and institutional governance support for expanding and strengthening capacities to take leadership role in their communities</t>
  </si>
  <si>
    <t>Output 1.1.4.1</t>
  </si>
  <si>
    <t>Increased refers to a higher quantity or better quality of available inputs/resources, while "sustainable" implies that this increase is not temporary but rather ongoing and environmentally responsible, ensuring that future needs can be met without compromising the capacity of ecosystems to support agriculture.</t>
  </si>
  <si>
    <r>
      <t xml:space="preserve">Output 1.1.5: </t>
    </r>
    <r>
      <rPr>
        <sz val="9"/>
        <rFont val="Calibri"/>
        <family val="2"/>
      </rPr>
      <t>Farmer's Field Schools Established</t>
    </r>
  </si>
  <si>
    <t># of farmer's field schools established</t>
  </si>
  <si>
    <t>Output 1.1.5.1</t>
  </si>
  <si>
    <t>A Farmer Field School (FFS) is an innovative and participatory approach to agricultural extension and farmer education that originated in the late 1980s. It aims to empower farmers with the knowledge and skills needed to improve their agricultural practices, increase productivity, and enhance their resilience to challenges such as pests, diseases, and climate change</t>
  </si>
  <si>
    <t># of farmers newly enrolled in Farmer Field Schools</t>
  </si>
  <si>
    <t>Output 1.1.5.2</t>
  </si>
  <si>
    <t># of farmers who have received agriculture inputs (cash/in-kind) through FFS programme</t>
  </si>
  <si>
    <t>Output 1.1.5.3</t>
  </si>
  <si>
    <t>This indicator measure the quality and type of agricultural inputs provided through the cash /in-kind modalities</t>
  </si>
  <si>
    <t># of Farmer Field School facilitators (Trainers trained for TOT on FFS methods)</t>
  </si>
  <si>
    <t>Output 1.1.5.4</t>
  </si>
  <si>
    <t>FFS facilitators trained.</t>
  </si>
  <si>
    <r>
      <t>Output 1.1.6:</t>
    </r>
    <r>
      <rPr>
        <sz val="9"/>
        <color rgb="FF000000"/>
        <rFont val="Calibri"/>
        <family val="2"/>
      </rPr>
      <t xml:space="preserve"> Agricultural extension services established</t>
    </r>
  </si>
  <si>
    <t># of extension services delivery strengthened for farmers</t>
  </si>
  <si>
    <t>Output 1.1.6.1</t>
  </si>
  <si>
    <t>The indicatorrefer to the level of accessibility, availability, and effectiveness of agricultural extension services provided to farmers within a specified population or geographic area.
Agricultural extension services encompass a range of activities aimed at disseminating agricultural knowledge, technology, information, and skills to farmers to enhance their productivity, improve farming practices, and promote sustainable agricultural development. These services may include:
Training and education: Providing farmers with workshops, seminars, field demonstrations, and hands-on training sessions to build their capacity and skills in various aspects of agriculture, such as crop production, livestock management, pest control, soil conservation, and agribusiness management.
Technical assistance: Offering personalized advisory services and technical support to farmers, including farm visits, consultations, and problem-solving assistance tailored to their specific needs and circumstances.
Information dissemination: Distributing agricultural information, best practices, research findings, market trends, weather forecasts, and other relevant data through various channels such as newsletters, brochures, radio programs, mobile phones, and online platforms.
Demonstration plots: Establishing demonstration plots or model farms to showcase innovative agricultural technologies, practices, and techniques and allow farmers to observe and learn from practical examples.
Networking and collaboration: Facilitating networking opportunities, farmer-to-farmer exchanges, and partnerships between farmers, agricultural experts, researchers, government agencies, NGOs, and other stakeholders to promote knowledge sharing, innovation, and collective action in agriculture.
Access to inputs and services: Facilitating farmers' access to agricultural inputs (e.g., seeds, fertilizers, pesticides) and essential services (e.g., credit, insurance, market linkages) through extension networks and support systems.</t>
  </si>
  <si>
    <r>
      <t xml:space="preserve">Output 1.1.8: </t>
    </r>
    <r>
      <rPr>
        <sz val="9"/>
        <rFont val="Calibri"/>
        <family val="2"/>
      </rPr>
      <t>Community knowledge of Food and Agricultural Systems strengthened</t>
    </r>
  </si>
  <si>
    <t># farmers trained on coping mechanisms in relation to climate-related hazards</t>
  </si>
  <si>
    <t>Output 1.1.8.1</t>
  </si>
  <si>
    <r>
      <t xml:space="preserve">Output 1.1.9: </t>
    </r>
    <r>
      <rPr>
        <sz val="9"/>
        <color rgb="FF000000"/>
        <rFont val="Calibri"/>
        <family val="2"/>
      </rPr>
      <t>Critical agricultural infrastructure rehabilitated</t>
    </r>
  </si>
  <si>
    <t># of agriculture &amp; food security infrastructure rehabilitated (irrigation systems.. etc.)</t>
  </si>
  <si>
    <t>Output 1.1.9.1</t>
  </si>
  <si>
    <t>This indicator measures increased access of irrigation water and farmming land as result of number of irrigation infrastructure rehabilitated</t>
  </si>
  <si>
    <r>
      <t>Output 1.2.1:</t>
    </r>
    <r>
      <rPr>
        <sz val="9"/>
        <color rgb="FF000000"/>
        <rFont val="Calibri"/>
        <family val="2"/>
      </rPr>
      <t xml:space="preserve"> EO contaminated land is returned to crisis-affected agricultural communities through humanitarian mine action activities</t>
    </r>
  </si>
  <si>
    <r>
      <t xml:space="preserve"># Sqm of safe land released back to the communities through Non-Technical Survey or clearance of land </t>
    </r>
    <r>
      <rPr>
        <i/>
        <sz val="9"/>
        <color rgb="FF000000"/>
        <rFont val="Calibri"/>
        <family val="2"/>
      </rPr>
      <t>[Given the lack of a baseline from the Government of Syria to gauge the extent of land contamination, DRC has not set fixed targets for NTS. However, actual achievements will be reflected within technical/narrative reporting.]</t>
    </r>
  </si>
  <si>
    <t>Output 1.2.1.1</t>
  </si>
  <si>
    <t>Target TBD</t>
  </si>
  <si>
    <t>This indicator measures the total area (in square meters) of land that has been cleared of explosive hazards and returned to communities for safe use. It provides a tangible measure of progress in mine action efforts.</t>
  </si>
  <si>
    <t>Pathway 2: Household Income &amp; Financial Services</t>
  </si>
  <si>
    <r>
      <rPr>
        <b/>
        <sz val="9"/>
        <rFont val="Calibri"/>
        <family val="2"/>
      </rPr>
      <t>Objective 2:</t>
    </r>
    <r>
      <rPr>
        <sz val="9"/>
        <rFont val="Calibri"/>
        <family val="2"/>
      </rPr>
      <t xml:space="preserve"> Crisis-affected households generate sustainable &amp; sufficient income from employment or self-employment for improved economic well-being</t>
    </r>
  </si>
  <si>
    <t>% of households who are able to increase their income from wage employment or self-employment as compared to baseline (disaggregated by GAD)</t>
  </si>
  <si>
    <t>Objective 2.1</t>
  </si>
  <si>
    <t>The indicator will measure that increased income at the household level as a result of the provided assistance for employment or self-employment. The indicator will be measured separately for groups supported on employment and for self-employment, but at a household level (not individual).</t>
  </si>
  <si>
    <t>% of households whose income from employment or self-employment is sufficient to cover their basic and protection needs (disaggregated by GAD)</t>
  </si>
  <si>
    <t>Objective 2.2</t>
  </si>
  <si>
    <t>The Minimum Expenditure Basket (MEB) is to be used to assess the proportion household spending on basic and protection needs.</t>
  </si>
  <si>
    <t>Outcome 2.1: Improved access to livelihoods and income generating opportunities</t>
  </si>
  <si>
    <t>% of participants reporting employed/self-employed in sustainable livelihoods</t>
  </si>
  <si>
    <t>Outcome 2.1.2</t>
  </si>
  <si>
    <t>The indicator measures the percentage of peopple successfully gained self-employment or wage employment as a result of their participation in the livelihood support activities. The indicator will be measured at the individual level and for all those who graduated from the employment support program.</t>
  </si>
  <si>
    <t>% of participants reporting diversifed income sources</t>
  </si>
  <si>
    <t>Outcome 2.1.3</t>
  </si>
  <si>
    <t>This indicator will measure the diversification at the HH level to identify the income options available to HHs to improve their livelihoods resilience. Multiple income sources within the HH will be indication of building livelihoods resilience. The indicator will also measure the level of income dervied from all income sources.</t>
  </si>
  <si>
    <t>% of participants reporting increased and positive engagement between communities and private sector</t>
  </si>
  <si>
    <t>Outcome 2.1.4</t>
  </si>
  <si>
    <t>The indicator will measure the change in the level of engagement between target communities and the private sector in terms of providing employment services, training opportunities, and resolving employment challenges. Indicator will measure two aspects, one is the frequency and level of engagement, and second is the change in relationships between both. Measurement will be at the group level through focus group discussion consisit of mixed participants from private sector and members of communities.</t>
  </si>
  <si>
    <r>
      <t>Output 2.1.1:</t>
    </r>
    <r>
      <rPr>
        <sz val="9"/>
        <rFont val="Calibri"/>
        <family val="2"/>
      </rPr>
      <t xml:space="preserve"> Community Gendered Protection Analysis inform the design and implementation of livelihoods interventions through a protection lens</t>
    </r>
  </si>
  <si>
    <t># of gender &amp; protection analysis exercises conducted</t>
  </si>
  <si>
    <t>Output 2.1.1.1</t>
  </si>
  <si>
    <t>As part of all livelihood assessments, gender and protection analysis will be conducted by the Oxfam Protection and Gender teams to desing the activities with gender and protection lens.
Oxfam considers this to be the Community Gender Protection Assessment Activity (GGPA).</t>
  </si>
  <si>
    <r>
      <t xml:space="preserve">Output 2.1.3: </t>
    </r>
    <r>
      <rPr>
        <sz val="9"/>
        <rFont val="Calibri"/>
        <family val="2"/>
      </rPr>
      <t>Employment models supported through private sector partnerships</t>
    </r>
  </si>
  <si>
    <t># of private/public sector institutes consulted/supported to develop the private sector led employment &amp; entrep. Development model</t>
  </si>
  <si>
    <t>Output 2.1.3.1</t>
  </si>
  <si>
    <t>This will be number of consultation made with numbers of private sector with their interest on engaging actively in designing model to support employment and enterprise development.</t>
  </si>
  <si>
    <r>
      <rPr>
        <b/>
        <sz val="9"/>
        <color rgb="FF000000"/>
        <rFont val="Calibri"/>
        <family val="2"/>
      </rPr>
      <t xml:space="preserve">Output 2.1.4: </t>
    </r>
    <r>
      <rPr>
        <sz val="9"/>
        <color rgb="FF000000"/>
        <rFont val="Calibri"/>
        <family val="2"/>
      </rPr>
      <t>Micro-Small Enterprises are supported to create self-employment and boost the revival and functionality of local markets</t>
    </r>
  </si>
  <si>
    <t># of beneficiaries referred by Protection-specialized actors (i.e., recovering from protection risks) and supported through this activity</t>
  </si>
  <si>
    <t>Output 2.1.4.1</t>
  </si>
  <si>
    <t>This indicator will measure all beneficiaries specifically referred by Consortium Protection teams and are supported with business management trainings and/or start-up participants.</t>
  </si>
  <si>
    <t># of beneficiaries trained in business management protection tailored trainings (or coaching sessions) for protection cases</t>
  </si>
  <si>
    <t>Output 2.1.4.2</t>
  </si>
  <si>
    <t>This indicator will measure those participants of business management trainings who were referred from protection teams AND receive some type of protection-specific / coaching as needed from SCC.</t>
  </si>
  <si>
    <t># of participants graduated from business management training</t>
  </si>
  <si>
    <t>Output 2.1.4.3</t>
  </si>
  <si>
    <t>This indicator measures all participants graduating from business management training. Note that 2.1.4.3 and and 2.1.4.4 are independent and unique beneficiaries</t>
  </si>
  <si>
    <t># of Start-up participants graduated from technical trainings and business management training</t>
  </si>
  <si>
    <t>Output 2.1.4.4</t>
  </si>
  <si>
    <t>These participants receive an additional training (technical/startup) because of being identified as needing this due to the specifics of their business. Note that 2.1.4.3 and and 2.1.4.4 are independent and unique beneficiaries</t>
  </si>
  <si>
    <t># of participants received business support (in-kind/cash)</t>
  </si>
  <si>
    <t>Output 2.1.4.5</t>
  </si>
  <si>
    <t>Of all participants from 2.1.4.3 and 2.1.4.4 (514), 329 of them will qualify for business grants.</t>
  </si>
  <si>
    <r>
      <t>Output 2.1.5:</t>
    </r>
    <r>
      <rPr>
        <sz val="9"/>
        <rFont val="Calibri"/>
        <family val="2"/>
      </rPr>
      <t xml:space="preserve"> Sustainable employment opportunities are created through the provision of skills development and employment support services</t>
    </r>
  </si>
  <si>
    <t>Output 2.1.5.1</t>
  </si>
  <si>
    <t>The number of participants who enrolled into vocational training training and who actually graduated from the training program with at-least 70% of the participation in training sessions.
The second indicator measures the number of beneficiaries who are referred by protection-specialized actors and subsequently supported through this activity. It focuses on tracking the number of individuals who receive referrals from actors specializing in protection services and are then provided with support by this program. The indicator evaluates the effectiveness of collaboration between protection actors and livelihoods actors in assisting at-risk but skilled individuals in accessing financial resources for their economic empowerment and resilience. 10% of the overall beneficiary target under this activity should be booked to respond to Protection cases.</t>
  </si>
  <si>
    <t># of participants graduated from vocational and technical training programs</t>
  </si>
  <si>
    <t>Output 2.1.5.2</t>
  </si>
  <si>
    <t># of participants supported with employment services (apprenticeship, job-placement, career counselling, etc.)</t>
  </si>
  <si>
    <t>Output 2.1.5.3</t>
  </si>
  <si>
    <t>These participants are a subset of the vocational and technical training programme who also receive employment services. These employment services can include: apprenticeships, job-placement, career counseling, and other programmes after the graduation of the vocation and technical training programme.</t>
  </si>
  <si>
    <t># of private/public sector partnership agreements signed for employment and skill development services</t>
  </si>
  <si>
    <t>Output 2.1.5.4</t>
  </si>
  <si>
    <t>This will measure the number of actual agreements signed with the private sector companies/employers to participate in employment promotion program. The measurement will be at the individual partner level with evidence of the partnership agreement signed for the agreed scope of work, duration, contribution, and roles &amp; responsibilities.</t>
  </si>
  <si>
    <t># of individuals provided with employment services through supported employment and skills development services</t>
  </si>
  <si>
    <t>Output 2.1.5.5</t>
  </si>
  <si>
    <t>This will measure the number of individuals who received support from output 2.1.5.4</t>
  </si>
  <si>
    <t>Pathway 3: Functioning Markets (Strengthening market systems)</t>
  </si>
  <si>
    <r>
      <rPr>
        <b/>
        <sz val="9"/>
        <rFont val="Calibri"/>
        <family val="2"/>
      </rPr>
      <t xml:space="preserve">Objective 3: </t>
    </r>
    <r>
      <rPr>
        <sz val="9"/>
        <rFont val="Calibri"/>
        <family val="2"/>
      </rPr>
      <t>Markets utilized by crisis-affected communities are functional, inclusive and accessible</t>
    </r>
  </si>
  <si>
    <t>% of community members who report that market functionality has improved their access to services (consumption, livelihoods inputs and employmnet/income) (disaggregated by GAD)</t>
  </si>
  <si>
    <t>Objective 3.1.</t>
  </si>
  <si>
    <t>This indicator would need to be defined during inception phase after a target area has been selected and the consortium has a better understanding of community perceptions of market functionality. To be determined after the TRUST Consultancy Assessment is finalised.</t>
  </si>
  <si>
    <t>% of self-employed and SME supported through the project who, in the past 3/6 months used one or more of the promoted market services</t>
  </si>
  <si>
    <t>Objective 3.2</t>
  </si>
  <si>
    <t>This indicator measures the percentage of the target individuals or SME that applied for and used one or more of the promoted financial products / services, such as loans, lease-to-own payments, insurance products, money transfers, or saving accounts.</t>
  </si>
  <si>
    <r>
      <rPr>
        <b/>
        <sz val="9"/>
        <color rgb="FF000000"/>
        <rFont val="Calibri"/>
        <family val="2"/>
      </rPr>
      <t>Outcome 3.1:</t>
    </r>
    <r>
      <rPr>
        <sz val="9"/>
        <color rgb="FF000000"/>
        <rFont val="Calibri"/>
        <family val="2"/>
      </rPr>
      <t xml:space="preserve"> Improved capacities of markets to provide equitable needed employment and input services for the targeted communities</t>
    </r>
  </si>
  <si>
    <t>% of market actors/value chain actors reporting increased trade/business activities</t>
  </si>
  <si>
    <t>Outcome 3.1.1</t>
  </si>
  <si>
    <t>This indicator will measure the frequency, level, and nature/type of engagement among market and value chain actors as a result of market linkage and value chain development activities. This will also measure any improvement in the relationships and change in the trade/business activities among vlaue chain actors, for example, farmers to processers relationships for buying and selling, contract farming, etc. Any mode of relationship which increase the trade activities among actors will be measured.</t>
  </si>
  <si>
    <t># of market systems supported to enabled increased &amp; improved delivery of livelihoods/income &amp; employment services for vulerable population groups</t>
  </si>
  <si>
    <t>Outcome 3.1.2</t>
  </si>
  <si>
    <t>the number of market systems that have been assisted or strengthened to facilitate the enhanced provision of livelihood opportunities, income generation activities, and employment services specifically targeted at vulnerable populations.
Outcome indicator meant to provide impact at YR3/4.</t>
  </si>
  <si>
    <t>% of new MSMEs within the selected value chains/market system reporting increased productivity/performance</t>
  </si>
  <si>
    <t>Outcome 3.1.3</t>
  </si>
  <si>
    <t>Any new MSMEs entering into selected value chain/market system will be measured in terms of its performance. The performance measurement will use set of enterprise performance indicators at enterprise level in terms its profitability, business growth, business retention, productivity, etc.</t>
  </si>
  <si>
    <t>% of communities reporting increased access to improved market services within the selected market systems/value chain</t>
  </si>
  <si>
    <t>Outcome 3.1.4</t>
  </si>
  <si>
    <t>The indicator will measure the access of value chain actors and consumers to needed items, services within the selected value chain. A general population level consumer survey will be condcuted to measure the level of satisfaction with market provision of items/services.</t>
  </si>
  <si>
    <r>
      <t xml:space="preserve">Output 3.1.2: </t>
    </r>
    <r>
      <rPr>
        <sz val="9"/>
        <color rgb="FF000000"/>
        <rFont val="Calibri"/>
        <family val="2"/>
      </rPr>
      <t>Market functionality is improved through the rehabilitation and support of physical productive and market infrastructure</t>
    </r>
  </si>
  <si>
    <t># of market infrastructure rehabilitated and supported</t>
  </si>
  <si>
    <t>Output 3.1.2.1</t>
  </si>
  <si>
    <t>The indicator will measure the number of markets that is rehabiliated. The measurement will include, volume of work done, length/sqm of the strcture rehabilitated, type of rehabiliation done, and the provision of services through the rehabiliated market. Note that the market rehab in damascus is one market, but 2 market infrastructures will be rehabilitated/supported.</t>
  </si>
  <si>
    <r>
      <rPr>
        <b/>
        <sz val="9"/>
        <color rgb="FF000000"/>
        <rFont val="Calibri"/>
        <family val="2"/>
      </rPr>
      <t xml:space="preserve">Output 3.1.3: </t>
    </r>
    <r>
      <rPr>
        <sz val="9"/>
        <color rgb="FF000000"/>
        <rFont val="Calibri"/>
        <family val="2"/>
      </rPr>
      <t>Technical and financial support is provided to strengthen market systems</t>
    </r>
  </si>
  <si>
    <t># of market systems supported (eg, financial support, digital market, agriculture market system …...)</t>
  </si>
  <si>
    <t>Output 3.1.3.1</t>
  </si>
  <si>
    <t>It refers to a number of Supported market systems that may include:
Financial support: Investments, grants, subsidies, or loans directed towards strengthening financial institutions, expanding access to credit and capital for businesses, promoting savings and microfinance initiatives, and enhancing financial literacy among market participants.
free lancer job , Agriculture market system support, improve transport and logistics infrastructure, and enhance market access for goods and services</t>
  </si>
  <si>
    <t># of market system studies conducted</t>
  </si>
  <si>
    <t>Output 3.1.3.2</t>
  </si>
  <si>
    <t>Study covers both geographic areas for both partners</t>
  </si>
  <si>
    <t># of market actors with in the selected market system supported</t>
  </si>
  <si>
    <t>Output 3.1.3.3</t>
  </si>
  <si>
    <t>this indicatore will measures the proportion of market participants or actors within a specific market system that have received support or assistance aimed at enhancing their capacity, competitiveness, and resilience.
Market actors refer to individuals, businesses, organizations, and institutions involved in the production, distribution, and exchange of goods and services within a particular market system. These actors may include:
Producers( Farmers, manufacturers, artisans, and other primary producers who supply goods and commodities to the market.)
Traders- Service providers:</t>
  </si>
  <si>
    <t>Pathway 4: Basic Services</t>
  </si>
  <si>
    <t>Objective 4: Crisis-affected households and communities benefit from affordable, appropriate, accessible, equitable and high-quality basic services</t>
  </si>
  <si>
    <t>% of community members who report that the perceived quality of basic services has improved as compared to baseline (disaggregated by GAD)</t>
  </si>
  <si>
    <t>Objective 4.1</t>
  </si>
  <si>
    <t>Perceived quality to be defined during inception based on community input</t>
  </si>
  <si>
    <t>% of beneficiaries surveyed reporting satisfaction with basic services received, including accessibility of basic and protection services.</t>
  </si>
  <si>
    <t>Objective 4.2</t>
  </si>
  <si>
    <t>Basic services would include but not limited to: Water, improved sanitation, solid waste management, transportation/mobility, energy, mobile and internet, information, some form of social welfare, health care, education, and public and open spaces. To be defined this during inception when it is clear which basic services the consortium will be targeting with its interventions. Access implies sufficient and affordable service is reliably available with satisfactory or adequate quality. It also coveres safe and dignified access to the service in terms of proximity or material support recieved to cover safe&amp; dignified transportation if it is life-saving or specialized-protection assistance that the beneficiary is attempting to access. This indicator would need to be defined during inception phase after a target area has been selected and an assessment of barriers has been conducted. Replace with Access indicator below</t>
  </si>
  <si>
    <r>
      <rPr>
        <b/>
        <sz val="9"/>
        <rFont val="Calibri"/>
        <family val="2"/>
      </rPr>
      <t xml:space="preserve">Outcome 4.1: </t>
    </r>
    <r>
      <rPr>
        <sz val="9"/>
        <rFont val="Calibri"/>
        <family val="2"/>
      </rPr>
      <t>Crisis-affected populations have improved access to safe and dignified housing</t>
    </r>
  </si>
  <si>
    <t>% of target population living in safe and dignified shelters in secure settlements</t>
  </si>
  <si>
    <t>Outcome 4.1.1</t>
  </si>
  <si>
    <t>Provision of long-term permanent shelter solutions for the affected population through damaged house repair to returnees (IDPs &amp; Refugees). This service will improve the living conditions of crisis-affected individuals by increasing access to safe and dignified shelter solutions for the most at-risk community members. Access to basic services at the household level will allow crisis-affected populations to restore their dignity and regain safety in improved living conditions.</t>
  </si>
  <si>
    <r>
      <t xml:space="preserve">Output 4.1.1: </t>
    </r>
    <r>
      <rPr>
        <sz val="9"/>
        <color rgb="FF000000"/>
        <rFont val="Calibri"/>
        <family val="2"/>
      </rPr>
      <t>Access to adequate housing is improved through the rehabilitation of Partially Damaged Housing Units (PDHUs)</t>
    </r>
  </si>
  <si>
    <t># of partially damaged housing units rehabilitated</t>
  </si>
  <si>
    <t>Output 4.1.2.1</t>
  </si>
  <si>
    <t>refers to a quantitative measurement used to track the number of partially damaged apartment units that have undergone rehabilitation or repair after finalize the activities implementation</t>
  </si>
  <si>
    <r>
      <t xml:space="preserve">Output 4.1.2: </t>
    </r>
    <r>
      <rPr>
        <sz val="9"/>
        <color rgb="FF000000"/>
        <rFont val="Calibri"/>
        <family val="2"/>
      </rPr>
      <t>Community safety is increased through the installation of solar streetlights</t>
    </r>
  </si>
  <si>
    <t># solar street lights installed in risk-exposed locations</t>
  </si>
  <si>
    <t>Output 4.1.2.2</t>
  </si>
  <si>
    <t>refers to a quantitative measurement used to track the number of solar street lights units that have been installed after finalize the activities implementation</t>
  </si>
  <si>
    <t>Outcome 4.2: Crisis-affected populations have improved their access to Water, Sanitation, and Hygiene services</t>
  </si>
  <si>
    <t>% of crisis-affected people with equitable, safe, and dignified access to adequate WASH services to strengthen communities' resilience against public health and climate risks</t>
  </si>
  <si>
    <t>Outcome 4.2.1</t>
  </si>
  <si>
    <t>Climate resilient water, sanitation and other basic services:
&gt; Risk analysis undertaken to potential impacts of extreme weather events, and preventive measures are managed and minimise climate risks to WASH infrastructure and services, reliable at all times, both during the year (i.e. during dry season) and during extreme weather events (i.e. during droughts/floods).
&gt; Considered greenhouse emissions (GHE) impact, working towards a low-carbon WASH services, use renewable energy sources. The use of diesel-powered generators is accepted if it is to be used as back up or in circumstances where other alternatives are not appropriate.
&gt; Helping build community resilience against climate change impacts, while reducing existing inequalities.
&gt; Management/service delivery models are sufficiently robust to cope with crisis, climate uncertainties, ensure longer-term sustainability (e.g. demographic change, economic transition or increasing competition over limited resources)</t>
  </si>
  <si>
    <t>Output 4.2.1: Communities have improved access to water supply through the rehabilitation of sustainable water supply systems</t>
  </si>
  <si>
    <t># of rehabilitated water systems providing safe and adequate water supply</t>
  </si>
  <si>
    <t>Output 4.2.1.1</t>
  </si>
  <si>
    <t>Safe and adequate water supply in households, communities, schools, and health facilities according to national &amp; Sphere standards</t>
  </si>
  <si>
    <t>Output 4.2.2: Communities have improved access to sanitation services through the rehabilitation of sustainable sanitation systems</t>
  </si>
  <si>
    <t># of rehabilitated sanitation systems providing safe access to functional sanitation services</t>
  </si>
  <si>
    <t>Output 4.2.2.1</t>
  </si>
  <si>
    <t>Safe and adequate sanitation &amp; solid waste management services in households, community, schools and health facilities according to national &amp; Sphere standards</t>
  </si>
  <si>
    <r>
      <t xml:space="preserve">Output 4.2.3: </t>
    </r>
    <r>
      <rPr>
        <sz val="9"/>
        <color rgb="FF000000"/>
        <rFont val="Calibri"/>
        <family val="2"/>
      </rPr>
      <t>Communities have increased knowledge of personal and communal hygiene practices through awareness-raising initiatives</t>
    </r>
  </si>
  <si>
    <t>% of crisis-affected population have improved health-hygiene knowledge and behaviours based on identified context-specific risks</t>
  </si>
  <si>
    <t>Output 4.2.3.1</t>
  </si>
  <si>
    <t>Improved health-hygiene knowledge and behaviors based on identified context-specific risks in households, community, schools and health facilities according to national and Sphere standards utilizing social behavior change approaches</t>
  </si>
  <si>
    <t># of crisis-affected community members participating in awareness-raising initiatives</t>
  </si>
  <si>
    <t>Output 4.2.3.2</t>
  </si>
  <si>
    <t>Awareness raising sessions for WASH / Hygiene Promotion. Health-hygiene knowledge and behaviors based on identified context-specific risks in households, community, schools and health facilities according to national and Sphere standards utilizing social behavior change approaches</t>
  </si>
  <si>
    <t>Output 4.2.4: Education and health services are supported through the rehabilitation of WASH facilities in schools and health centers</t>
  </si>
  <si>
    <t># of rehabilitated public WASH facilities (schools and health centers) are with functional water supply, sanitation and hygiene facilities</t>
  </si>
  <si>
    <t>Output 4.2.4.1</t>
  </si>
  <si>
    <t>refers to a quantitative measurement used to indicagte the number Public WASH facilities in schools and/or health centers that have undergone WASH facilitiesrehabilitation efforts and meet certain essential criteria for functionality and infrastructure quality</t>
  </si>
  <si>
    <t>Outcome 4.3: Learning Environments for crisis-affected communities are enhanced through safe, conducive, and child-friendly learning environments that foster better learning outcomes</t>
  </si>
  <si>
    <t>CWS/ NFE:% of children and youth who feel safe and protected</t>
  </si>
  <si>
    <t>Outcome 4.3.1</t>
  </si>
  <si>
    <t>• Well-being is defined as children who by their own perception feel that their psychosocial situation has improved since joining the program.
• Children are surveyed at the beginning of the program and at the completion of the program. The improvement is the difference in wellbeing between the two surveys.
Includes Non-formal and Creating Welcome Schools) formal education programme participants.</t>
  </si>
  <si>
    <t>CWS/ NFE: % of participants who can correctly replicate key (skills/methods) covered in training/outreach</t>
  </si>
  <si>
    <t>Outcome 4.3.2</t>
  </si>
  <si>
    <t>Refers to output 4.3.3.1
• Teacher: a teacher is defined as a person responsible for leading learning activities with children and youth. Included in this definition are – teachers, facilitators, trainers, resource persons, coach/ mentors.
• Training packages include – Teacher in Crisis Context-TiCC (primary), BLP1
• Minimum training package –TICC = 3-day skills development, mock sessions/ assessment.
• Correctly replicate skills: is defined as the demonstration of the skills identified in the classroom in accordance with the criteria stated in the observation form.
• The teacher is considered competent when they are able to replicate ALL criteria in the observation form.
• Skills can be demonstrated during mock sessions. These can be used in the event that classroom observations are not possible.
• This tool is only to be conducted by a staff with a teacher.
• This indicator refers only to teachers who have an attendance of 80% in the training (=teachers trained).</t>
  </si>
  <si>
    <t>CWS/ NFE: % beneficiary families/schools officials/teachers who report/are observed using kit materials for formal educational purposes 2 months (e.g. 2 months) after distribution</t>
  </si>
  <si>
    <t>Outcome 4.3.3</t>
  </si>
  <si>
    <t>Teacher: a teacher is defined as a person responsible for leading learning activities with children and youth. Included in this definition are – teachers, facilitators, trainers, resource persons, coach/ mentors. Kit is defined as teacher individual kit and/or school/classroom kit
Includes Formal &amp; non-formal education programming</t>
  </si>
  <si>
    <t>% of constructed or rehabilitated toilet with HWS that are accessible, clean and functioning 3 months after completion</t>
  </si>
  <si>
    <t>Outcome 4.3.4</t>
  </si>
  <si>
    <t>Refers to a quantitative measurement used to assess the percentage of toilets that have been newly constructed or rehabilitated with Handwashing Facilities (HWS), which are accessible, clean, and fully operational three months after the construction or rehabilitation work has been completed.as these facilities should be easily reachable, well-maintained, clean, and fully operational, indicating that they can be effectively used by individuals in a hygienic and functional manner.</t>
  </si>
  <si>
    <t>% of the students and teachers who are satisfied with the school rehabilitation</t>
  </si>
  <si>
    <t>Outcome 4.3.5</t>
  </si>
  <si>
    <t>Refers to a quantitative measurement used to assess the level of contentment and approval among both students and teachers regarding the rehabilitation work carried out in a school environment. As the school's students and teachers express satisfaction or not with the improvements made to the school as a result of the rehabilitation efforts.</t>
  </si>
  <si>
    <t>% completing learners who pass the final non formal education programme exam/assessment at target level *</t>
  </si>
  <si>
    <t>Outcome 4.3.6</t>
  </si>
  <si>
    <t>Learners completing the education programme level are defined as children attending min. 80% of the program sessions proving to be competent
- CEP Remedial sessions are identified by teachers out of the CEP in Communities sessions menu
- The pre is the CEP T competency assessment (arabic and math only), the post the competency assessment of CEP in Communities part 3 (arabic and Math only) for that grade</t>
  </si>
  <si>
    <t>% of children who remain in school until the end of the program</t>
  </si>
  <si>
    <t>Outcome 4.3.7</t>
  </si>
  <si>
    <t>• School is defined as formal school or, in the absence of formal school, as a learning centre that offers structured learning that reflects the main competencies of the closest official curriculum
• Remain in school= have an attendance of at least 50% in the school and are still enrolled at the end of the school year</t>
  </si>
  <si>
    <t>Output 4.3.1: Learning environments are improved through the rehabilitation of schools</t>
  </si>
  <si>
    <t># of individuals / students benefiting from rehabilitation and equipping of schools</t>
  </si>
  <si>
    <t>Output 4.3.1.1</t>
  </si>
  <si>
    <t>Refers to a quantitative measurement used to track the number of students who now have enhanced opportunities to learn in educational settings that are secure, supportive, and tailored to the needs of children, ultimately leading to improved educational achievements.
Prior to donor submission, the total students in the school was unknown, but since 10 May, this number has been updated to reflect 350 students per school.</t>
  </si>
  <si>
    <t># Number of schools made accessible to children with disabilities</t>
  </si>
  <si>
    <t>Output 4.3.1.2</t>
  </si>
  <si>
    <t>Refers to a quantitative measurement used to track the number of students who belong to marginalized groups, including those with disabilities, and who now have enhanced opportunities to access rehabilitated schools that are more inclusive and accommodating to their specific needs.</t>
  </si>
  <si>
    <r>
      <t xml:space="preserve">Output 4.3.2: </t>
    </r>
    <r>
      <rPr>
        <sz val="9"/>
        <color rgb="FF000000"/>
        <rFont val="Calibri"/>
        <family val="2"/>
      </rPr>
      <t>Education quality is enhanced through the Creating Welcoming Schools Programme</t>
    </r>
  </si>
  <si>
    <t># of teachers trained (formal education)</t>
  </si>
  <si>
    <t>Output 4.3.2.1</t>
  </si>
  <si>
    <t>Number of teachers that attend at least 75% of a training.
Teacher – a teacher is defined as a person responsible for leading learning activities with children and youth. Included in this definition are – teachers, facilitators, trainers, resource persons, coach/ mentors.
Teacher training: This refers to any support and capacity building which enables teachers and other education personnel to effectively instruct and assess learners. Teacher development programmes are based on actual and evolving needs of both teachers and learners.</t>
  </si>
  <si>
    <t># of teachers competent</t>
  </si>
  <si>
    <t>Output 4.3.2.2</t>
  </si>
  <si>
    <t>The teacher is considered competent when they are able to replicate ALL criteria in the observation form.</t>
  </si>
  <si>
    <t># of learners expected to benefit from teacher training (estimate)</t>
  </si>
  <si>
    <t>Output 4.3.2.3</t>
  </si>
  <si>
    <t>Learners are defined as the children and youth enrolled in each school.
This number should be an estimate of the average TLS attendance/capacity</t>
  </si>
  <si>
    <t># of individuals receiving NFI kits (formal education) *</t>
  </si>
  <si>
    <t>Output 4.3.2.4</t>
  </si>
  <si>
    <t>Kits are distributed at the end of the activity.
An NFI kit is a collection of non-food items (note books, pencils, pens, school bags, registers…) distributed to beneficiaries in a single bundle to support non-formal education. The distribution of student, teacher and director kits can be included in this category.
Distribution list must contain contents of kit being distributed.</t>
  </si>
  <si>
    <t># of information or awareness sessions/projects/events conducted</t>
  </si>
  <si>
    <t>Output 4.3.2.5</t>
  </si>
  <si>
    <t>• A parent awareness session is defined as a session for parents and guardians where information is shared. Minimum duration 60 minutes.
• Parents attending a parent awareness sessions are defined as parents who attend minimum 1 awareness session.</t>
  </si>
  <si>
    <t># of initiatives led by learners</t>
  </si>
  <si>
    <t>Output 4.3.2.6</t>
  </si>
  <si>
    <t>• A Student Council is considered as established/trained as soon as the selection and induction of members is finalized.
• A student led activity is defined as an activity planned and/or conducted with/by a group of students to contribute to the creation of a welcoming environment in a school community. the activity can be implemented during lunch hour, after school, or on holidays. the activity may be a funded activity or a no cost activity.</t>
  </si>
  <si>
    <r>
      <t xml:space="preserve">Output 4.3.3: </t>
    </r>
    <r>
      <rPr>
        <sz val="9"/>
        <color rgb="FF000000"/>
        <rFont val="Calibri"/>
        <family val="2"/>
      </rPr>
      <t>Access to Non-Formal Education is increased</t>
    </r>
  </si>
  <si>
    <t># of teachers/ facilitators trained (NFE)</t>
  </si>
  <si>
    <t>Output 4.3.3.1</t>
  </si>
  <si>
    <t>Number of teachers/facilitators that attend at least 75% of a training.</t>
  </si>
  <si>
    <t># of teachers/facilitators competent (NFE)</t>
  </si>
  <si>
    <t>Output 4.3.3.2</t>
  </si>
  <si>
    <t>The teacher/facilitator is considered competent when they are able to replicate ALL criteria in the observation form.</t>
  </si>
  <si>
    <t># of individuals receiving NFI kits (NFE) teachers/facilitators</t>
  </si>
  <si>
    <t>Output 4.3.3.3</t>
  </si>
  <si>
    <t>An NFI kit is a collection of non-food items (note books, pencils, pens, school bags, registers…) distributed to beneficiaries in a single bundle to support non-formal education. The item distributed to student, teacher, facilitators as kits can be included in this category.
Distribution list must contain contents of kit being distributed.</t>
  </si>
  <si>
    <t># of learners enrolled in non-formal alternative education (such as accelerated or community-based)</t>
  </si>
  <si>
    <t>Output 4.3.3.4</t>
  </si>
  <si>
    <t>A child is defined as 7 – 14 years of age. Youth 15 to 25
BLN/ CEP T/ CEP Remedial/YEP T – a child/youth is defined as enrolled after attending 1 session.</t>
  </si>
  <si>
    <t># of enrolled learners who attend a minimum of 80 percent of timetabled lessons</t>
  </si>
  <si>
    <t>Output 4.3.3.5</t>
  </si>
  <si>
    <t>Number of learners who attend at least 80% of the scheduled lessons or classes they are enrolled in. It aims to assess the regularity of learners' attendance and their level of engagement with their educational program.
Step 1: Determine the total number of enrolled learners.
Step 2: Collect attendance data for each learner, tracking their attendance for each timetabled lesson over a specified period (e.g., a semester, academic year, or specific time frame).
Step 3: Calculate the percentage of attendance for each learner by dividing the number of attended timetabled lessons by the total number of timetabled lessons and multiplying by 100.
Step 4: Identify the learners who have attended at least 80% of their timetabled lessons (i.e., learners with attendance percentages equal to or greater than 80%).</t>
  </si>
  <si>
    <t># of learners completing the non-formal alternative education/Youth Education programme level</t>
  </si>
  <si>
    <t>Output 4.3.3.6</t>
  </si>
  <si>
    <t>Learners completing the children/Youth education programme level are defined as children/Youth attending min. 80% of the program sessions proving to be competent.
Students are given two options, one right before the end of the programme, one right after, to demonstrate they achieved the expected competencies.
Number of learners who complete the entire education programme cycle as intended.
Note, learners are counted if they complete the length of the prgramme irrespective of whether they gradute or pass a final exam/assessment.</t>
  </si>
  <si>
    <t>Outcome 4.4: Crisis-affected populations have improved access to health and MHPSS services</t>
  </si>
  <si>
    <t>% of patients reporting satisfaction with provided essential health and MHPSS services</t>
  </si>
  <si>
    <t>Outcome 4.4.1</t>
  </si>
  <si>
    <t>This indicator is used to assess the quality of healthcare services provided to patients, as perceived by the patients themselves.</t>
  </si>
  <si>
    <t># of Community Health Workers per 10,000 population</t>
  </si>
  <si>
    <t>Outcome 4.4.2</t>
  </si>
  <si>
    <t>This indicator assesses the density of CHWs in the community, reflecting the capacity of CHWs to be contribute to a resilient health systems that respond effectively to shocks and maintain essential health services.</t>
  </si>
  <si>
    <t>% of multidisciplinary responders trained on health and MHPSS topics showing increased knowledge.</t>
  </si>
  <si>
    <t>Outcome 4.4.3</t>
  </si>
  <si>
    <t>This indicator measures the proportion of trained multidisciplinary responders who demonstrate an improvement in their understanding and application of health and MHPSS concepts following training. It assesses the effectiveness of capacity strengthening programs in increasing the competency of responders in managing health and psychosocial crises.</t>
  </si>
  <si>
    <r>
      <t>Output 4.4.1:</t>
    </r>
    <r>
      <rPr>
        <sz val="9"/>
        <rFont val="Calibri"/>
        <family val="2"/>
      </rPr>
      <t xml:space="preserve"> Daily Consultation Capacities at supported Health Facilities Enhanced</t>
    </r>
  </si>
  <si>
    <t>Average number of consultations per clinician per day in health facilities supported by the project</t>
  </si>
  <si>
    <t>Output 4.4.1.1</t>
  </si>
  <si>
    <t>This measures the daily consultation rate per clinician within supported health facilities, indicating the capacity and efficiency of healthcare delivery by individual clinicians.</t>
  </si>
  <si>
    <r>
      <t>Output 4.4.2:</t>
    </r>
    <r>
      <rPr>
        <sz val="9"/>
        <rFont val="Calibri"/>
        <family val="2"/>
      </rPr>
      <t xml:space="preserve"> Rapid Health Community Level Committees are established to address community health needs</t>
    </r>
  </si>
  <si>
    <t># of rapid health community committees established with active CHW identified and trained</t>
  </si>
  <si>
    <t>Output 4.4.2.1</t>
  </si>
  <si>
    <t>This indicator measures the quantity of rapid health community committees that have been formed and established within a specific context. Rapid health community committees are local groups of community members, often including individuals with health expertise or training, who are organized to respond quickly to health-related emergencies, disseminate health information, and facilitate coordination between communities and health authorities during crises or urgent situations.</t>
  </si>
  <si>
    <r>
      <t>Output 4.4.3:</t>
    </r>
    <r>
      <rPr>
        <sz val="9"/>
        <rFont val="Calibri"/>
        <family val="2"/>
      </rPr>
      <t xml:space="preserve"> Community-Based Health Surveillance System implemented for Early Warning of Communicable Diseases</t>
    </r>
  </si>
  <si>
    <t># of health facilities implementing context-specific community-based surveillance systems.</t>
  </si>
  <si>
    <t>Output 4.4.3.1</t>
  </si>
  <si>
    <t>Community-based surveillance includes systems of data collection and reporting outside of health facilities focused on monitoring health-related events or conditions in the community, facilitating timely detection, response, and management of potential public health emergencies.
This indicator is measured by the sum of the each new surveillance system set up. Accordingly, formulas for the output tracker are distinct from others since they continue to function throughout the LoP</t>
  </si>
  <si>
    <r>
      <t xml:space="preserve">Output 4.4.4: </t>
    </r>
    <r>
      <rPr>
        <sz val="9"/>
        <rFont val="Calibri"/>
        <family val="2"/>
      </rPr>
      <t>Crises affected Public Health Facilities Rehabilitated</t>
    </r>
  </si>
  <si>
    <t># of health facilities rehabilitated, based on findings from comprehensive Health Facility Assessments (HFAs).</t>
  </si>
  <si>
    <t>Output 4.4.4.1</t>
  </si>
  <si>
    <t>This indicator measures the number of health facilities that have been rehabilitated based on the recommendations from HFAs. Rehabilitation and rebuilding may involve upgrading or repairing infrastructure, adding new equipment, assessming staffing levels, or improving service delivery processes, among other relatd aspects.</t>
  </si>
  <si>
    <r>
      <t>Output 4.4.5:</t>
    </r>
    <r>
      <rPr>
        <sz val="9"/>
        <rFont val="Calibri"/>
        <family val="2"/>
      </rPr>
      <t xml:space="preserve"> Health Facility Level Information Management Systems</t>
    </r>
    <r>
      <rPr>
        <b/>
        <sz val="9"/>
        <rFont val="Calibri"/>
        <family val="2"/>
      </rPr>
      <t xml:space="preserve"> established</t>
    </r>
  </si>
  <si>
    <t># of health facilities supported in upgrading or modifying information systems based on results of technical assessment</t>
  </si>
  <si>
    <t>Output 4.4.5.1</t>
  </si>
  <si>
    <t>This output measures the number of health facilities that have received assistance to improve their information systems (primary health care services including mental health and psychosocial support), such as upgrading or modifying hardware or software, based on the results of a health facilities assessment</t>
  </si>
  <si>
    <r>
      <t xml:space="preserve">Output 4.4.6: </t>
    </r>
    <r>
      <rPr>
        <sz val="9"/>
        <rFont val="Calibri"/>
        <family val="2"/>
      </rPr>
      <t>Multidisciplinary Responders' capacity in Health and MHPSS topics are strengthened</t>
    </r>
  </si>
  <si>
    <t># of multidisciplinary responders trained on relevant health and MHPSS topics</t>
  </si>
  <si>
    <t>Output 4.4.6.1</t>
  </si>
  <si>
    <t>This indicator measures the number of individuals (multidisciplinary responders: members of different organizations, e.g. GPs, social workers, nurses, members of other local organizations and authorities in the targeted area) trained on PFA, MhGAP, and evidence-based therapeutic approaches.</t>
  </si>
  <si>
    <t>Pathway 5: Enabling Community Environment</t>
  </si>
  <si>
    <r>
      <t>Objective 5:</t>
    </r>
    <r>
      <rPr>
        <sz val="9"/>
        <rFont val="Calibri"/>
        <family val="2"/>
      </rPr>
      <t xml:space="preserve"> Crisis-affected communities are more cohesive, inclusive, safe and equitable</t>
    </r>
  </si>
  <si>
    <t>% of community members reporting successful mitigation of barriers to meaningful participation in community structures (disaggregated by GAD)</t>
  </si>
  <si>
    <t>Objective 5.1</t>
  </si>
  <si>
    <t>This goal-level indicator measures the percentage of community members in the overall catchment area who report that barriers preventing meaningful participation in community-based structures have been effectively mitigated (compared to the baseline). These barriers encompass a range of factors that hinder individuals from actively engaging and contributing to decision-making processes within community structures. They include cultural norms, discriminatory practices, limited access to resources or information, lack of representation, power dynamics, and other obstacles that inhibit meaningful participation. These categories of barriers will be assessed as part of the Oxfam Community Participation Baseline-Midline-Endline Survey (as well as Community Gendered Protection Analysis and Social Cultural Influence Analysis FGDs). The AGD disaggregation provides additional insights into the experiences of different groups and their specific barriers to participation. By monitoring this indicator, the goal is to assess the progress made in promoting inclusive and participatory processes throughout the activities under this goal, empowering marginalized groups, and creating equitable community structures that facilitate active engagement and decision-making by all community members.</t>
  </si>
  <si>
    <t>% of community members reporting positive change in perceptions of other identity groups in their community (disaggregated by GAD)</t>
  </si>
  <si>
    <t>Objective 5.2</t>
  </si>
  <si>
    <t>This indicator measures the percentage of community members who report experiencing a positive change in their perceptions of other identity groups within their community. It focuses on assessing the extent to which community members have developed more inclusive and accepting attitudes towards individuals from different identity groups. The indicator captures changes in perceptions related to ethnicity (e.g., Kurds versus Arabs), religion, nationality, socioeconomic status, age, disability, social status, displacement and other specific AGD-intersectional profiles). These categories of identities will be assessed as part of the Oxfam Community Participation Baseline-Midline-Endline Survey (as well as Community Gendered Protection Analysis and Social Cultural Influence Analysis FGDs
The AGD disaggregation provides additional insights into the experiences of different gender groups and their specific perceptions of other identity groups. It allows for understanding whether gender intersects with other identity factors to influence perceptions and attitudes within the community.</t>
  </si>
  <si>
    <t>% of targeted community members with supportive attitudes towards women’s economic participation</t>
  </si>
  <si>
    <t>Objective 5.3</t>
  </si>
  <si>
    <t>The indicator shows the extent to which the target community members are supportive of women's active economic participation. It helps understand how target groups react to an intervention and change their attitudes toward women's economic participation</t>
  </si>
  <si>
    <t>% of the targeted community members with self-protection capacity</t>
  </si>
  <si>
    <t>Objective 5.4</t>
  </si>
  <si>
    <t>The indicator measures the proportion of community members, including children and women, who possess the ability to protect themselves against various hazards. These hazards include explosive ordnance risks and instances of sexual harassment.
The self-protection capacity encompasses the ability of community members, irrespective of age, disability or gender, to prevent, respond to, and mitigate risks associated with explosive remnants of war or unexploded ordnance. Additionally, it involves the capacity to safeguard oneself from incidents of sexual harassment in public areas, as well as in places where essential services are accessed, such as schools or healthcare facilities.
By assessing this indicator in AGD disaggregation, the aim is to evaluate the effectiveness of interventions aimed at enhancing the overall self-protection capacity of communities and individuals across these identified hazards.</t>
  </si>
  <si>
    <t>% of targeted community members reporting improved finances as well as social connections or a greater sense of belonging in their community as a result of their involvement with the social enterprise supported</t>
  </si>
  <si>
    <t>Objective 5.5</t>
  </si>
  <si>
    <t>This indicator measures the dual impact of a social enterprise by assessing its contribution to both improved finances and improved social connections or a greater sense of belonging among its beneficiaries. The indicator captures the percentage of beneficiaries who report both improved finances and improved social connections as a result of their involvement with the social enterprise supported.Improved finances can be characterized by increased income, improved financial literacy, or other financial outcomes that improve the economic well-being of beneficiaries. Improved social connections/greater sense of belonging can be characterized by increased social engagement, interaction, and support from others in the community.
2.1.4 - social enterprises included within MSME?</t>
  </si>
  <si>
    <r>
      <t xml:space="preserve">Outcome 5.1: </t>
    </r>
    <r>
      <rPr>
        <sz val="9"/>
        <color rgb="FF000000"/>
        <rFont val="Calibri"/>
        <family val="2"/>
      </rPr>
      <t>Crisis-affected communities have increased opportunities and avenues for community engagement</t>
    </r>
  </si>
  <si>
    <t>% of targeted beneficiaries reporting safe, dignified and effective participation in community-led initiatives (GAD disaggregated data)</t>
  </si>
  <si>
    <t>Outcome 5.1.1</t>
  </si>
  <si>
    <t>The indicator captures the percentage of targeted beneficiaries who report safe, dignified, and effective participation in establishing community goups or structures, as well as in designing and benefiting from community-led initiatives, with data disaggregated by AGD. Safe participation refers to the absence of any physical or psychological harm or intimindation to the beneficiary while participating in community-led initiatives. Dignified participation refers to the respect of the beneficiary's rights, values, and culture while participating in the initiatives. Effective participation refers to the beneficiary's ability to meaningfully engage in the community meetings, sensitization sessions, initiatives and contribute to their outcomes.
Output: 5.1.2.1, 5.1.3.1</t>
  </si>
  <si>
    <t>% targeted community members reporting improved social connectedness</t>
  </si>
  <si>
    <t>Outcome 5.1.2</t>
  </si>
  <si>
    <t>Percentage change in perceived level of social connectedness reported by community members participating in social cohesion activities</t>
  </si>
  <si>
    <t>Output 5.1.1: Community Governance Structures are supported with community sensitization through community-led approaches</t>
  </si>
  <si>
    <t># of community sensitization sessions</t>
  </si>
  <si>
    <t>Output 5.1.1.1</t>
  </si>
  <si>
    <t>The indicator focuses on the quantity of community sensitization sessions conducted within a specific timeframe to inform and engage community members in community-based structures and their roles. These sessions aim to disseminate information, facilitate discussions, and promote understanding among community members regarding community engagement, participation, and the selection and support of community-based structures.</t>
  </si>
  <si>
    <t># of individuals participating in community sensitization sessions</t>
  </si>
  <si>
    <t>Output 5.1.1.2</t>
  </si>
  <si>
    <t>The indicator measures the number of individuals actively participating in community sensitization sessions aimed at informing the community regarding community engagement and participation. These sessions serve to sensitize community members about the roles, responsibilities, and functioning of community-based structures, as well as their own role in selecting and supporting these structures and informing their efforts. The indicator quantifies the total number of individuals who attend and actively engage in these sessions, reflecting their interest and commitment to understanding and participating in community decision-making processes.</t>
  </si>
  <si>
    <r>
      <t xml:space="preserve">Output 5.1.2.1: </t>
    </r>
    <r>
      <rPr>
        <sz val="9"/>
        <color rgb="FF000000"/>
        <rFont val="Calibri"/>
        <family val="2"/>
      </rPr>
      <t>Protection and Social Cohesion Outcomes are supported through community-led initiatives</t>
    </r>
  </si>
  <si>
    <t># of community-led initiatives implemented</t>
  </si>
  <si>
    <t>Output 5.1.2.1</t>
  </si>
  <si>
    <t>The indicator focuses on the quantity of community-led initiatives that are successfully implemented within the target community. These initiatives are developed, organized, and managed by community members themselves, with the aim of addressing specific protection issues or promoting the overall well-being and resilience of the community. The indicator quantifies the total number of initiatives that have been planned, executed, and completed by the community, reflecting their proactive engagement and collective action.</t>
  </si>
  <si>
    <t># of community members benefiting from community-led protection initiatives</t>
  </si>
  <si>
    <t>Output 5.1.2.2</t>
  </si>
  <si>
    <t>The indicator measures the quantity of community members who directly benefit from community-led protection initiatives. These initiatives are implemented by the community itself, aiming to address protection concerns and promote the safety, well-being, and rights of community members. The indicator quantifies the total number of individuals who receive tangible benefits, services, or support through these initiatives. Examples of benefits may include access to information, training, or safer environment (e.g., solar street lighting, safe spaces, bus stops, social enterprises targeting individuals at protection risk).</t>
  </si>
  <si>
    <r>
      <rPr>
        <b/>
        <sz val="9"/>
        <color rgb="FF000000"/>
        <rFont val="Calibri"/>
        <family val="2"/>
      </rPr>
      <t xml:space="preserve">Output 5.1.3: </t>
    </r>
    <r>
      <rPr>
        <sz val="9"/>
        <color rgb="FF000000"/>
        <rFont val="Calibri"/>
        <family val="2"/>
      </rPr>
      <t>Social Cohesion Community-based activities are coordinated</t>
    </r>
  </si>
  <si>
    <t># community-based social cohesion activities implemented</t>
  </si>
  <si>
    <t>Output 5.1.3.1</t>
  </si>
  <si>
    <t>Community members will actively participate in and complete a structured social cohesion activity over a defined period of time or sessions. The specific nature and scale of these activities will be determined once community-based protection structures are established and the initiatives are designed. These initiatives can take various forms, such as recreational activities or workshops designed collaboratively by the community groups. Alternatively, they may involve the preperatory work required for the creation of a social enterprise in partnership with Livelihoods and Protection, aimed at addressing divisions and leveraging connections within the community.The scope of these initiatives can vary widely, encompassing awareness campaigns as well as efforts to promote social and economic inclusion. The exact nature of the initiative will depend on the context, including the underlying causes of divisions and the existing connections within the community. Therefore, 1000 USD was initially allocated to each of these initiative. However, some initiatives may cost less while others may cost more.
When the initiative designed is a social enterprise then the cost of the social enterprise itself will be charged on livelihoods, while the meetings and sessions required for the community-based design of this initiative can be covered by this line.</t>
  </si>
  <si>
    <t># of community members participating in community-based social cohesion activities</t>
  </si>
  <si>
    <t>Output 5.1.3.2</t>
  </si>
  <si>
    <r>
      <rPr>
        <b/>
        <sz val="9"/>
        <rFont val="Calibri"/>
        <family val="2"/>
      </rPr>
      <t>Outcome 5.2</t>
    </r>
    <r>
      <rPr>
        <sz val="9"/>
        <rFont val="Calibri"/>
        <family val="2"/>
      </rPr>
      <t xml:space="preserve">: </t>
    </r>
    <r>
      <rPr>
        <sz val="9"/>
        <color rgb="FF000000"/>
        <rFont val="Calibri"/>
        <family val="2"/>
      </rPr>
      <t>Crisis-affected communities have increased access to participation in community-based social enterprises</t>
    </r>
  </si>
  <si>
    <t>% of targeted beneficiaries reporting safe, dignified and effective participation in community-based social enterprises</t>
  </si>
  <si>
    <t>Outcome 5.2.1</t>
  </si>
  <si>
    <t>The first indicator measures the percentage of targeted beneficiaries who report experiencing safe, dignified, and effective participation in community-based social enterprises. It assesses the extent to which beneficiaries feel protected, respected, and empowered within the enterprises. The indicator captures their perception of safety measures, fair treatment, meaningful involvement, and the effectiveness of their participation.
These collective indicators provide a comprehensive assessment of the impact of community-based social enterprises. They consider the perspectives of both targeted beneficiaries and the broader community, evaluating their experiences of safety, dignity, effective participation, economic benefits, and social cohesion resulting from the enterprises.</t>
  </si>
  <si>
    <t>% of community members reporting that community-based social enterprises have resulted in collective, economic benefits for the community</t>
  </si>
  <si>
    <t>Outcome 5.2.2</t>
  </si>
  <si>
    <t>The second indicator evaluates the percentage of community members who report that community-based social enterprises have generated collective economic benefits for the community. It assesses whether the enterprises have contributed to improving the economic well-being of the community as a whole. The indicator captures community members' perceptions of increased income, employment opportunities and economic empowerment resulting from the enterprises.</t>
  </si>
  <si>
    <t>% of community members reporting that community-based social enterprises have resulted in social cohesion for the community</t>
  </si>
  <si>
    <t>Outcome 5.2.3</t>
  </si>
  <si>
    <t>The third indicator measures the percentage of community members who report that community-based social enterprises have resulted in enhanced social cohesion within the community. It assesses the extent to which the enterprises have contributed to strengthening social bonds, fostering cooperation, and promoting a sense of unity among community members. The indicator captures community members' perceptions of improved relationships, trust, solidarity, and a common purpose as outcomes of the enterprises.</t>
  </si>
  <si>
    <r>
      <t>Output 5.2.1:</t>
    </r>
    <r>
      <rPr>
        <sz val="9"/>
        <rFont val="Calibri"/>
        <family val="2"/>
      </rPr>
      <t xml:space="preserve"> Social enterprises designed and completed to bring in social cohesion outcomes and economic gain</t>
    </r>
  </si>
  <si>
    <t># of community-based social enterprises established to promote social cohesion.</t>
  </si>
  <si>
    <t>Output 5.2.1.1</t>
  </si>
  <si>
    <t>Number of individuals directly benefiting from the social enterprise in terms of both financial and social gain. However, while measuring the impact on social cohesion, indirect beneficiaries should also be included in the evaluation survey. While the previous indicator, 5.1.3, encompasses the number of larger community members benefiting from social cohesion activities, such as awareness sessions, recreational activities, or social enterprises, this particular indicator focuses on quantifying the community individuals specifically targeted by the community-based protection structure and the livelihoods program to help establish social enterprises that yield economic and social cohesion outcomes.This indicator is for livelihood programme to report on and budget for, while the effort needed to complete this output is a collaborative effort between Protection/Social cohesion teams and Livelihood teams.</t>
  </si>
  <si>
    <t># of beneficiaries from social enterprises</t>
  </si>
  <si>
    <t>Output 5.2.1.2</t>
  </si>
  <si>
    <r>
      <t xml:space="preserve">Output 5.3.1: </t>
    </r>
    <r>
      <rPr>
        <sz val="9"/>
        <rFont val="Calibri"/>
        <family val="2"/>
      </rPr>
      <t>Service mapping and referral pathways are developed and utilised by SCC partners and communities</t>
    </r>
  </si>
  <si>
    <t># of referral systems/pathways in place that include multi-sectoral services (health, psychosocial, legal, etc)</t>
  </si>
  <si>
    <t>Output 5.3.1.1</t>
  </si>
  <si>
    <t>The first indicator measures the number of referral systems/pathways implemented that encompass multi-sectoral services such as health, psychosocial support, legal assistance, and other relevant sectors. It assesses the establishment of coordinated mechanisms to facilitate referrals and self-referrals for individuals in need of various services. The indicator tracks the implementation of components such as brochures, an in-house map of services, workshops/meetings, and phone calls aimed at updating and maintaining effective referral/self-referral pathways. The collaboration with local actors is crucial in ensuring the comprehensive coverage of services and the involvement of relevant stakeholders.</t>
  </si>
  <si>
    <t># of individuals receiving information sessions on how to access services and on self-referral pathways</t>
  </si>
  <si>
    <t>Output 5.3.1.2</t>
  </si>
  <si>
    <t>The second indicator measures the number of individuals who receive information sessions on accessing available services and self-referral pathways. These sessions aim to enhance beneficiaries' awareness of the services, actors involved, and the procedures for accessing them. The indicator captures the number of information sessions conducted to disseminate knowledge about service availability, project timelines, and established referral pathways. These sessions target community-based protection structures and randomly selected community members, accommodating up to 20 participants per session. The objective is to broaden access to community services, particularly for individuals facing protection challenges, while fostering service complementarity and ensuring efficient referrals and self-referrals.</t>
  </si>
  <si>
    <r>
      <rPr>
        <b/>
        <sz val="9"/>
        <rFont val="Calibri"/>
        <family val="2"/>
      </rPr>
      <t>Output 5.3.2:</t>
    </r>
    <r>
      <rPr>
        <sz val="9"/>
        <rFont val="Calibri"/>
        <family val="2"/>
      </rPr>
      <t xml:space="preserve"> Case management services are delivered</t>
    </r>
  </si>
  <si>
    <t># of individuals receiving case management services (disaggregated by sex, age, disability &amp; status)</t>
  </si>
  <si>
    <t>Output 5.3.2.1</t>
  </si>
  <si>
    <t xml:space="preserve">Oxfam will manage SSSD's case management in both areas.
DRC will conduct case management in its community centres.
</t>
  </si>
  <si>
    <r>
      <t xml:space="preserve">Output 5.3.3: </t>
    </r>
    <r>
      <rPr>
        <sz val="9"/>
        <color rgb="FF000000"/>
        <rFont val="Calibri"/>
        <family val="2"/>
      </rPr>
      <t>Cash or in-kind Individual Protection Assistance is provided to facilitate safe and dignified access to protection-specialized and life-saving assistance</t>
    </r>
  </si>
  <si>
    <t># of individuals provided with IPA to meet their protection needs (disaggregated by sex, age &amp; status)</t>
  </si>
  <si>
    <t>Output 5.3.3.1</t>
  </si>
  <si>
    <t>Oxfam's Protection team will offer cash or in-kind individual assistance to protection cases referred by the partner case management service and the consortium teams. For cases referred by the case management partner, no individual protection assessment will be conducted by Oxfam. However, for cases referred by non-case management actors, Oxfam will perform an individual protection assessment to initially determine the most appropriate and safest protection response required.
In both scenarios, a Protection Review Committee or Case Conferencing meeting will be conducted jointly with the referring actor (only Protection people will be joining this meeting). The purpose of these meetings is to have anonymous discussions about the referred profiles and collectively decide on the provision of individual assistance by Oxfam. Referring actors will not disclose identifiable information to Oxfam until the committee concludes that the individual is eligible for cash or in-kind assistance and the individual consents to sharing their information with Oxfam.
The target that were mentioned is for both DRC and OXFAM at area level can be discussed each team divided target</t>
  </si>
  <si>
    <t># of individuals provided with Cash for Protection linked to Protection Case Management to meet their protection needs (disaggregated by sex, age &amp; status)</t>
  </si>
  <si>
    <t>Output 5.3.3.2</t>
  </si>
  <si>
    <t>Cash For Protection is specifically related to Case management. DRC will provide cash for protection (CfP) to specific CM cases that qualify for this service.
CfP also includes 36 victim assistance cases which are to be provided with cash.</t>
  </si>
  <si>
    <r>
      <t>Outcome 5.4:</t>
    </r>
    <r>
      <rPr>
        <sz val="9"/>
        <color rgb="FF000000"/>
        <rFont val="Calibri"/>
        <family val="2"/>
      </rPr>
      <t xml:space="preserve"> Crisis-affected communities have increased capacity for self-protection and are more resilient to the stresses associated with population movement (return and displacement).</t>
    </r>
  </si>
  <si>
    <t>% of individuals reporting the information received will be used in their daily life</t>
  </si>
  <si>
    <t>Outcome 5.4.1</t>
  </si>
  <si>
    <t>This indicator will capture the percentage of beneficiaries who are utilizing the information delivered by the protection teams during community-based activities, including PSS and awareness sessions.</t>
  </si>
  <si>
    <t>Output 5.4.1: Psychosocial Support (PSS) programmes are provided to support improved wellbeing</t>
  </si>
  <si>
    <t># of individuals accessing key protection messages through structured PSS programmes</t>
  </si>
  <si>
    <t>Output 5.4.1.1</t>
  </si>
  <si>
    <t>This indicator will document the number of beneficiaries involved in the dissemination of essential information, messages, and resources to individuals within the community, aiming to increase awareness, knowledge, and understanding of protection-related issues. The objective of this process is to empower individuals to make informed decisions, adopt positive behaviors, and access available support services and resources to enhance their safety and well-being.
DRC, through its PSS program, follows a structured curriculum designed to address specific psychosocial issues and promote emotional well-being. Each session is meticulously planned to cover various topics, including stress management, coping skills, self-care strategies, and resilience-building techniques.
Furthermore, the PSS program provides ongoing support to participants beyond the structured sessions, emphasizing the importance of continued practice and integration of learned skills into daily routines. Facilitators may offer follow-up sessions, resources, and referrals to additional support services as needed to ensure sustained progress and well-being.</t>
  </si>
  <si>
    <t># of individuals participating in community-based psychosocial activities, including life skills, recreational, art-based and sport/game-based activities (disaggregated by sex, age, disability &amp; status)</t>
  </si>
  <si>
    <t>Output 5.4.1.2</t>
  </si>
  <si>
    <t>This indicator will document community-based psychosocial activities, encompassing both unstructured psychosocial support (PSS) and child protection (CP) sessions, designed to address the immediate needs of individuals affected by crisis situations. These sessions are typically one-time events tailored to the specific needs and context of the community.
Unstructured PSS sessions provide a safe space for participants to express their emotions, share experiences, and access emotional support in a non-judgmental environment. These sessions may include activities such as group discussions, relaxation exercises, storytelling, or creative arts, enabling participants to explore and cope with their feelings.
Similarly, child protection sessions focus on raising awareness of child rights, providing information on identifying and responding to child protection concerns, and equipping caregivers and community members with the knowledge and skills to protect children from harm. These sessions may cover topics such as child abuse, exploitation, neglect, and appropriate response mechanisms.</t>
  </si>
  <si>
    <t>Outcome 5.5: At-risk communities have strengthened capacities to prevent and reduce Explosive Ordnance (EO) accidents and promote life-saving behaviours</t>
  </si>
  <si>
    <t>% of community members that demonstrate increased knowledge and feelings of safety after Mine/ERW awareness sessions- segregated by age, gender, diversity, conflict sensitivity and equality</t>
  </si>
  <si>
    <t>Outcome 5.5.1</t>
  </si>
  <si>
    <t>This indicator measures the percentage of community members who show improved knowledge about mines and explosive remnants of war (ERW) and increased feelings of safety after participating in awareness sessions. The data is segregated by various demographic factors such as age, gender, diversity (which could include ethnicity, religion, etc.), conflict sensitivity (referring to how aware individuals are of potential conflicts), and equality (ensuring equitable access to and participation in the sessions).</t>
  </si>
  <si>
    <t>% of risk education participants who report having a better knowledge and understanding of the risks posed by EO and know how to adopt safer behaviours 6 months after the RE sessions</t>
  </si>
  <si>
    <t>Outcome 5.5.2</t>
  </si>
  <si>
    <t>This indicator assesses the percentage of participants in risk education (RE) sessions who report improved knowledge and understanding of the risks posed by explosive ordnance (EO) and demonstrate knowing how to adopt safer behaviors six months after the sessions. It measures the effectiveness of RE programs in long-term knowledge retention and behavior change.</t>
  </si>
  <si>
    <t>Output 5.5.1: Community and school-based EORE sessions are delivered in high-risk areas</t>
  </si>
  <si>
    <t># of risk education sessions delivered</t>
  </si>
  <si>
    <t>Output 5.5.1.1</t>
  </si>
  <si>
    <t>This indicator simply counts the total number of risk education sessions conducted within the project period.
This indicator counts the total number of community members who have benefited from risk education sessions, with data disaggregated by gender, age, and diversity. It helps in understanding the reach and impact of the risk education programs across different demographic groups.</t>
  </si>
  <si>
    <t># of community members trained on CW/IED risk reduction, disaggregated by GAD</t>
  </si>
  <si>
    <t>Output 5.5.1.2</t>
  </si>
  <si>
    <t>This standard KRI will be used to measure the total number of individuals receiving EORE, with a maximum of 25 participants per group session.</t>
  </si>
  <si>
    <t>Outcome 5.6: Conflict-affected communities in Syria are better supported to exercise and claim their basic legal rights, resulting in enhanced protection from legal identity and housing, land, and property (HLP) violations.</t>
  </si>
  <si>
    <t>Output 5.6.1 Project Participants and community members receiving legal information sessions on their HLP, LID and employment rights (disaggregated by thematic area, age, gender and disability).</t>
  </si>
  <si>
    <t># of individuals receiving information on their rights (disaggregated by thematic area, gender, age and disability)</t>
  </si>
  <si>
    <t>Output 5.6.1.1.</t>
  </si>
  <si>
    <t>Number of attendees in the awareness sessions</t>
  </si>
  <si>
    <r>
      <rPr>
        <b/>
        <sz val="9"/>
        <color rgb="FF000000"/>
        <rFont val="Calibri"/>
        <family val="2"/>
      </rPr>
      <t>Output 5.6.2</t>
    </r>
    <r>
      <rPr>
        <sz val="9"/>
        <color rgb="FF000000"/>
        <rFont val="Calibri"/>
        <family val="2"/>
      </rPr>
      <t xml:space="preserve"> Project participants receiving individual legal counselling on their rights related to HLP, LID and employment law (disaggregated by thematic area, age, gender and disability)</t>
    </r>
  </si>
  <si>
    <t># of individuals receiving counselling on their rights (disaggregated by thematic area and implementation modality)</t>
  </si>
  <si>
    <t>Output 5.6.2.1.</t>
  </si>
  <si>
    <t>Legal counseling reported to ICLA database</t>
  </si>
  <si>
    <r>
      <rPr>
        <b/>
        <sz val="9"/>
        <color rgb="FF000000"/>
        <rFont val="Calibri"/>
        <family val="2"/>
      </rPr>
      <t xml:space="preserve">Output 5.6.3 </t>
    </r>
    <r>
      <rPr>
        <sz val="9"/>
        <color rgb="FF000000"/>
        <rFont val="Calibri"/>
        <family val="2"/>
      </rPr>
      <t>Project participants receiving legal assistance on HLP, LID and employment law (disaggregated by thematic area, age, gender and disability)</t>
    </r>
  </si>
  <si>
    <t># of individuals receiving legal assistance (disaggregated by thematic area and implementation modality)</t>
  </si>
  <si>
    <t>Output 5.6.3.1.</t>
  </si>
  <si>
    <t>Legal assistance reported to ICLA database</t>
  </si>
  <si>
    <t>Output 5.6.4 Consortium members and sectors receiving due diligence support through NRC ICLA</t>
  </si>
  <si>
    <t># of due diligence provided to consortium members</t>
  </si>
  <si>
    <t>Output 5.6.4.1.</t>
  </si>
  <si>
    <t>Due diligence process reported to the tracker and followed up</t>
  </si>
  <si>
    <t>Output 5.6.5 Community members trained on negotiation and dispute resolution skills (CDR)</t>
  </si>
  <si>
    <t># of women men and youth trained on negotiation and dispute resolution skills</t>
  </si>
  <si>
    <t>Output 5.6.5.1.</t>
  </si>
  <si>
    <t>Number of participants attending each training</t>
  </si>
  <si>
    <t>Output 5.6.6 Institutional Support for Bar Association  and Cadastars</t>
  </si>
  <si>
    <t># of bar associations and cadasters supported</t>
  </si>
  <si>
    <t>Output 5.6.6.1.</t>
  </si>
  <si>
    <t>Bar Association is defined as the national bar assocaition, so this target spans all governorates.</t>
  </si>
  <si>
    <t>Total Target Split (2025-July 2026)</t>
  </si>
  <si>
    <t xml:space="preserve">Donors: </t>
  </si>
  <si>
    <t>Danish MoFA, SDC, Norwegian MoFA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</si>
</sst>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31">
    <font>
      <sz val="11"/>
      <color theme="1"/>
      <name val="Aptos Narrow"/>
      <family val="2"/>
      <scheme val="minor"/>
    </font>
    <font>
      <sz val="11"/>
      <color theme="1"/>
      <name val="Aptos Narrow"/>
      <family val="2"/>
      <scheme val="minor"/>
    </font>
    <font>
      <sz val="8"/>
      <name val="Aptos Narrow"/>
      <family val="2"/>
      <scheme val="minor"/>
    </font>
    <font>
      <b/>
      <sz val="8"/>
      <name val="Calibri"/>
      <family val="2"/>
    </font>
    <font>
      <b/>
      <sz val="11"/>
      <color theme="0"/>
      <name val="Calibri"/>
      <family val="2"/>
    </font>
    <font>
      <b/>
      <sz val="8"/>
      <color theme="0"/>
      <name val="Calibri"/>
      <family val="2"/>
    </font>
    <font>
      <b/>
      <sz val="9"/>
      <color theme="0"/>
      <name val="Calibri"/>
      <family val="2"/>
    </font>
    <font>
      <sz val="11"/>
      <name val="Calibri"/>
      <family val="2"/>
    </font>
    <font>
      <sz val="8"/>
      <name val="Calibri"/>
      <family val="2"/>
    </font>
    <font>
      <sz val="9"/>
      <color rgb="FF000000"/>
      <name val="Calibri"/>
      <family val="2"/>
    </font>
    <font>
      <b/>
      <sz val="9"/>
      <color rgb="FF000000"/>
      <name val="Calibri"/>
      <family val="2"/>
    </font>
    <font>
      <sz val="9"/>
      <name val="Calibri"/>
      <family val="2"/>
    </font>
    <font>
      <b/>
      <sz val="9"/>
      <name val="Calibri"/>
      <family val="2"/>
    </font>
    <font>
      <sz val="9"/>
      <color theme="1"/>
      <name val="Calibri"/>
      <family val="2"/>
    </font>
    <font>
      <i/>
      <sz val="9"/>
      <color rgb="FF000000"/>
      <name val="Calibri"/>
      <family val="2"/>
    </font>
    <font>
      <i/>
      <sz val="9"/>
      <name val="Calibri"/>
      <family val="2"/>
    </font>
    <font>
      <sz val="9"/>
      <color theme="3"/>
      <name val="Calibri"/>
      <family val="2"/>
    </font>
    <font>
      <sz val="9"/>
      <color rgb="FFFF0000"/>
      <name val="Calibri"/>
      <family val="2"/>
    </font>
    <font>
      <sz val="9"/>
      <color theme="0"/>
      <name val="Calibri"/>
      <family val="2"/>
    </font>
    <font>
      <b/>
      <sz val="10"/>
      <color theme="0"/>
      <name val="Calibri"/>
      <family val="2"/>
    </font>
    <font>
      <b/>
      <sz val="24"/>
      <color rgb="FFFFFFFF"/>
      <name val="Calibri"/>
      <family val="2"/>
    </font>
    <font>
      <b/>
      <sz val="16"/>
      <color theme="0"/>
      <name val="Calibri"/>
      <family val="2"/>
    </font>
    <font>
      <sz val="8"/>
      <color theme="1"/>
      <name val="Calibri"/>
      <family val="2"/>
    </font>
    <font>
      <sz val="8"/>
      <color theme="1"/>
      <name val="Aptos Narrow"/>
      <family val="2"/>
      <scheme val="minor"/>
    </font>
    <font>
      <sz val="10"/>
      <name val="Calibri"/>
      <family val="2"/>
    </font>
    <font>
      <b/>
      <sz val="10"/>
      <name val="Calibri"/>
      <family val="2"/>
    </font>
    <font>
      <b/>
      <sz val="14"/>
      <color theme="0"/>
      <name val="Calibri"/>
      <family val="2"/>
    </font>
    <font>
      <b/>
      <sz val="12"/>
      <name val="Calibri"/>
      <family val="2"/>
    </font>
    <font>
      <sz val="12"/>
      <name val="Calibri"/>
      <family val="2"/>
    </font>
    <font>
      <b/>
      <sz val="9"/>
      <color theme="1"/>
      <name val="Calibri"/>
      <family val="2"/>
    </font>
    <font>
      <b/>
      <sz val="11"/>
      <color theme="1"/>
      <name val="Aptos Narrow"/>
      <family val="2"/>
      <scheme val="minor"/>
    </font>
  </fonts>
  <fills count="15">
    <fill>
      <patternFill patternType="none"/>
    </fill>
    <fill>
      <patternFill patternType="gray125"/>
    </fill>
    <fill>
      <patternFill patternType="solid">
        <fgColor rgb="FFA20000"/>
        <bgColor indexed="64"/>
      </patternFill>
    </fill>
    <fill>
      <patternFill patternType="solid">
        <fgColor rgb="FFFFFFFF"/>
        <bgColor rgb="FF000000"/>
      </patternFill>
    </fill>
    <fill>
      <patternFill patternType="solid">
        <fgColor theme="0"/>
        <bgColor indexed="64"/>
      </patternFill>
    </fill>
    <fill>
      <patternFill patternType="solid">
        <fgColor rgb="FFFF0000"/>
        <bgColor indexed="64"/>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rgb="FFC00000"/>
        <bgColor indexed="64"/>
      </patternFill>
    </fill>
    <fill>
      <patternFill patternType="solid">
        <fgColor rgb="FFAF161E"/>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000000"/>
      </right>
      <top style="thin">
        <color indexed="64"/>
      </top>
      <bottom style="thin">
        <color indexed="64"/>
      </bottom>
      <diagonal/>
    </border>
    <border>
      <left/>
      <right style="thin">
        <color rgb="FF000000"/>
      </right>
      <top style="thin">
        <color rgb="FF000000"/>
      </top>
      <bottom style="thin">
        <color rgb="FF000000"/>
      </bottom>
      <diagonal/>
    </border>
    <border>
      <left/>
      <right style="medium">
        <color rgb="FF000000"/>
      </right>
      <top/>
      <bottom style="thin">
        <color indexed="64"/>
      </bottom>
      <diagonal/>
    </border>
    <border>
      <left/>
      <right style="medium">
        <color rgb="FF000000"/>
      </right>
      <top style="thin">
        <color indexed="64"/>
      </top>
      <bottom/>
      <diagonal/>
    </border>
    <border>
      <left/>
      <right style="thin">
        <color rgb="FF000000"/>
      </right>
      <top/>
      <bottom style="thin">
        <color rgb="FF000000"/>
      </bottom>
      <diagonal/>
    </border>
    <border>
      <left/>
      <right style="thin">
        <color rgb="FF000000"/>
      </right>
      <top/>
      <bottom/>
      <diagonal/>
    </border>
    <border>
      <left style="thin">
        <color indexed="64"/>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top style="thin">
        <color indexed="64"/>
      </top>
      <bottom/>
      <diagonal/>
    </border>
    <border>
      <left/>
      <right style="medium">
        <color rgb="FF000000"/>
      </right>
      <top style="medium">
        <color rgb="FF000000"/>
      </top>
      <bottom style="thin">
        <color indexed="64"/>
      </bottom>
      <diagonal/>
    </border>
    <border>
      <left/>
      <right/>
      <top/>
      <bottom style="medium">
        <color rgb="FF000000"/>
      </bottom>
      <diagonal/>
    </border>
  </borders>
  <cellStyleXfs count="7">
    <xf numFmtId="0" fontId="0" fillId="0" borderId="0"/>
    <xf numFmtId="9"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7" fillId="0" borderId="0"/>
  </cellStyleXfs>
  <cellXfs count="268">
    <xf numFmtId="0" fontId="0" fillId="0" borderId="0" xfId="0"/>
    <xf numFmtId="0" fontId="4" fillId="10" borderId="0" xfId="0" applyFont="1" applyFill="1" applyAlignment="1">
      <alignment vertical="center" wrapText="1"/>
    </xf>
    <xf numFmtId="0" fontId="4" fillId="10" borderId="0" xfId="0" applyFont="1" applyFill="1" applyAlignment="1">
      <alignment horizontal="center" vertical="center" wrapText="1"/>
    </xf>
    <xf numFmtId="0" fontId="5" fillId="10" borderId="1" xfId="0" applyFont="1" applyFill="1" applyBorder="1" applyAlignment="1">
      <alignment horizontal="center" vertical="center" wrapText="1"/>
    </xf>
    <xf numFmtId="0" fontId="8" fillId="0" borderId="0" xfId="0" applyFont="1" applyAlignment="1">
      <alignment vertical="center" wrapText="1"/>
    </xf>
    <xf numFmtId="9" fontId="3" fillId="5" borderId="2" xfId="1" applyFont="1" applyFill="1" applyBorder="1" applyAlignment="1">
      <alignment horizontal="center" vertical="center" wrapText="1"/>
    </xf>
    <xf numFmtId="9" fontId="3" fillId="6" borderId="2" xfId="1" applyFont="1" applyFill="1" applyBorder="1" applyAlignment="1">
      <alignment horizontal="center" vertical="center" wrapText="1"/>
    </xf>
    <xf numFmtId="9" fontId="3" fillId="7" borderId="2" xfId="1" applyFont="1" applyFill="1" applyBorder="1" applyAlignment="1">
      <alignment horizontal="center" vertical="center" wrapText="1"/>
    </xf>
    <xf numFmtId="9" fontId="3" fillId="8" borderId="2" xfId="1" applyFont="1" applyFill="1" applyBorder="1" applyAlignment="1">
      <alignment horizontal="center" vertical="center" wrapText="1"/>
    </xf>
    <xf numFmtId="9" fontId="3" fillId="5" borderId="1" xfId="1" applyFont="1" applyFill="1" applyBorder="1" applyAlignment="1">
      <alignment horizontal="center" vertical="center" wrapText="1"/>
    </xf>
    <xf numFmtId="9" fontId="3" fillId="6" borderId="1" xfId="1" applyFont="1" applyFill="1" applyBorder="1" applyAlignment="1">
      <alignment horizontal="center" vertical="center" wrapText="1"/>
    </xf>
    <xf numFmtId="9" fontId="3" fillId="11" borderId="1" xfId="1" applyFont="1" applyFill="1" applyBorder="1" applyAlignment="1">
      <alignment horizontal="center" vertical="center" wrapText="1"/>
    </xf>
    <xf numFmtId="9" fontId="3" fillId="5" borderId="10" xfId="1" applyFont="1" applyFill="1" applyBorder="1" applyAlignment="1">
      <alignment horizontal="center" vertical="center" wrapText="1"/>
    </xf>
    <xf numFmtId="9" fontId="3" fillId="8" borderId="17" xfId="1" applyFont="1" applyFill="1" applyBorder="1" applyAlignment="1">
      <alignment horizontal="center" vertical="center" wrapText="1"/>
    </xf>
    <xf numFmtId="9" fontId="3" fillId="5" borderId="18" xfId="1" applyFont="1" applyFill="1" applyBorder="1" applyAlignment="1">
      <alignment horizontal="center" vertical="center" wrapText="1"/>
    </xf>
    <xf numFmtId="0" fontId="8" fillId="0" borderId="3" xfId="0" applyFont="1" applyBorder="1" applyAlignment="1">
      <alignment vertical="top" wrapText="1"/>
    </xf>
    <xf numFmtId="0" fontId="8" fillId="0" borderId="2" xfId="0" applyFont="1" applyBorder="1" applyAlignment="1">
      <alignment vertical="top" wrapText="1"/>
    </xf>
    <xf numFmtId="9" fontId="3" fillId="4" borderId="10" xfId="1" applyFont="1" applyFill="1" applyBorder="1" applyAlignment="1">
      <alignment horizontal="center" vertical="center" wrapText="1"/>
    </xf>
    <xf numFmtId="9" fontId="3" fillId="4" borderId="1" xfId="1" applyFont="1" applyFill="1" applyBorder="1" applyAlignment="1">
      <alignment horizontal="center" vertical="center" wrapText="1"/>
    </xf>
    <xf numFmtId="9" fontId="3" fillId="4" borderId="2" xfId="1" applyFont="1" applyFill="1" applyBorder="1" applyAlignment="1">
      <alignment horizontal="center" vertical="center" wrapText="1"/>
    </xf>
    <xf numFmtId="1" fontId="3" fillId="11" borderId="1" xfId="1" applyNumberFormat="1" applyFont="1" applyFill="1" applyBorder="1" applyAlignment="1">
      <alignment horizontal="center" vertical="center" wrapText="1"/>
    </xf>
    <xf numFmtId="9" fontId="3" fillId="4" borderId="17" xfId="1" applyFont="1" applyFill="1" applyBorder="1" applyAlignment="1">
      <alignment horizontal="center" vertical="center" wrapText="1"/>
    </xf>
    <xf numFmtId="9" fontId="3" fillId="4" borderId="18" xfId="1" applyFont="1" applyFill="1" applyBorder="1" applyAlignment="1">
      <alignment horizontal="center" vertical="center" wrapText="1"/>
    </xf>
    <xf numFmtId="9" fontId="5" fillId="10" borderId="1" xfId="1" applyFont="1" applyFill="1" applyBorder="1" applyAlignment="1">
      <alignment horizontal="center" vertical="center" wrapText="1"/>
    </xf>
    <xf numFmtId="0" fontId="8" fillId="0" borderId="1" xfId="0" applyFont="1" applyBorder="1" applyAlignment="1">
      <alignment vertical="top" wrapText="1"/>
    </xf>
    <xf numFmtId="0" fontId="5" fillId="2" borderId="6" xfId="0" applyFont="1" applyFill="1" applyBorder="1" applyAlignment="1">
      <alignment vertical="top" wrapText="1"/>
    </xf>
    <xf numFmtId="1" fontId="3" fillId="11" borderId="2" xfId="1" applyNumberFormat="1"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0" xfId="0" applyFont="1" applyFill="1" applyAlignment="1">
      <alignment vertical="top" wrapText="1"/>
    </xf>
    <xf numFmtId="0" fontId="11" fillId="0" borderId="1" xfId="0" applyFont="1" applyBorder="1" applyAlignment="1">
      <alignment vertical="top" wrapText="1"/>
    </xf>
    <xf numFmtId="0" fontId="11" fillId="0" borderId="2" xfId="0" applyFont="1" applyBorder="1" applyAlignment="1">
      <alignment vertical="top" wrapText="1"/>
    </xf>
    <xf numFmtId="0" fontId="6" fillId="4" borderId="1" xfId="0" applyFont="1" applyFill="1" applyBorder="1" applyAlignment="1">
      <alignment vertical="center" wrapText="1"/>
    </xf>
    <xf numFmtId="1" fontId="12" fillId="11" borderId="1" xfId="1" applyNumberFormat="1" applyFont="1" applyFill="1" applyBorder="1" applyAlignment="1">
      <alignment horizontal="center" vertical="center" wrapText="1"/>
    </xf>
    <xf numFmtId="1" fontId="6" fillId="10" borderId="1" xfId="1" applyNumberFormat="1" applyFont="1" applyFill="1" applyBorder="1" applyAlignment="1">
      <alignment horizontal="center" vertical="center" wrapText="1"/>
    </xf>
    <xf numFmtId="9" fontId="6" fillId="10" borderId="1" xfId="1" applyFont="1" applyFill="1" applyBorder="1" applyAlignment="1">
      <alignment horizontal="center" vertical="center" wrapText="1"/>
    </xf>
    <xf numFmtId="0" fontId="11" fillId="0" borderId="1" xfId="2" applyFont="1" applyBorder="1" applyAlignment="1">
      <alignment vertical="top" wrapText="1"/>
    </xf>
    <xf numFmtId="0" fontId="11" fillId="0" borderId="1" xfId="0" applyFont="1" applyBorder="1" applyAlignment="1">
      <alignment horizontal="center"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top" wrapText="1"/>
    </xf>
    <xf numFmtId="0" fontId="9" fillId="0" borderId="1" xfId="0" applyFont="1" applyBorder="1" applyAlignment="1">
      <alignment vertical="top" wrapText="1"/>
    </xf>
    <xf numFmtId="0" fontId="6" fillId="4" borderId="1" xfId="0" applyFont="1" applyFill="1" applyBorder="1" applyAlignment="1">
      <alignment horizontal="left" vertical="center" wrapText="1"/>
    </xf>
    <xf numFmtId="0" fontId="11" fillId="0" borderId="3" xfId="0" applyFont="1" applyBorder="1" applyAlignment="1">
      <alignment horizontal="center" vertical="top" wrapText="1"/>
    </xf>
    <xf numFmtId="0" fontId="11" fillId="4" borderId="1" xfId="0" applyFont="1" applyFill="1" applyBorder="1" applyAlignment="1">
      <alignment horizontal="center" vertical="top" wrapText="1"/>
    </xf>
    <xf numFmtId="0" fontId="15" fillId="0" borderId="1" xfId="0" applyFont="1" applyBorder="1" applyAlignment="1">
      <alignment vertical="top"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4" borderId="1" xfId="0" applyFont="1" applyFill="1" applyBorder="1" applyAlignment="1">
      <alignment vertical="top" wrapText="1"/>
    </xf>
    <xf numFmtId="9" fontId="15" fillId="0" borderId="1" xfId="1" applyFont="1" applyFill="1" applyBorder="1" applyAlignment="1">
      <alignment vertical="center" wrapText="1"/>
    </xf>
    <xf numFmtId="9" fontId="11" fillId="0" borderId="1" xfId="0" applyNumberFormat="1" applyFont="1" applyBorder="1" applyAlignment="1">
      <alignment horizontal="center" vertical="center" wrapText="1"/>
    </xf>
    <xf numFmtId="9" fontId="12" fillId="11" borderId="1" xfId="1" applyFont="1" applyFill="1" applyBorder="1" applyAlignment="1">
      <alignment horizontal="center" vertical="center" wrapText="1"/>
    </xf>
    <xf numFmtId="0" fontId="9" fillId="0" borderId="1" xfId="0" applyFont="1" applyBorder="1" applyAlignment="1">
      <alignment vertical="top"/>
    </xf>
    <xf numFmtId="0" fontId="6" fillId="4" borderId="1" xfId="0" applyFont="1" applyFill="1" applyBorder="1" applyAlignment="1">
      <alignment horizontal="center" vertical="center" wrapText="1"/>
    </xf>
    <xf numFmtId="0" fontId="13" fillId="0" borderId="1" xfId="0" applyFont="1" applyBorder="1" applyAlignment="1">
      <alignment vertical="top" wrapText="1"/>
    </xf>
    <xf numFmtId="0" fontId="13" fillId="0" borderId="1" xfId="0" applyFont="1" applyBorder="1" applyAlignment="1">
      <alignment horizontal="center" vertical="top" wrapText="1"/>
    </xf>
    <xf numFmtId="3" fontId="11" fillId="0" borderId="1" xfId="0" applyNumberFormat="1" applyFont="1" applyBorder="1" applyAlignment="1">
      <alignment horizontal="center" vertical="center" wrapText="1"/>
    </xf>
    <xf numFmtId="3" fontId="11" fillId="4" borderId="1" xfId="0" applyNumberFormat="1" applyFont="1" applyFill="1" applyBorder="1" applyAlignment="1">
      <alignment horizontal="center" vertical="center" wrapText="1"/>
    </xf>
    <xf numFmtId="0" fontId="9" fillId="0" borderId="2" xfId="0" applyFont="1" applyBorder="1" applyAlignment="1">
      <alignment vertical="top" wrapText="1"/>
    </xf>
    <xf numFmtId="1" fontId="11" fillId="0" borderId="1" xfId="0" applyNumberFormat="1" applyFont="1" applyBorder="1" applyAlignment="1">
      <alignment horizontal="center" vertical="center" wrapText="1"/>
    </xf>
    <xf numFmtId="1" fontId="12" fillId="11" borderId="2" xfId="1" applyNumberFormat="1" applyFont="1" applyFill="1" applyBorder="1" applyAlignment="1">
      <alignment horizontal="center" vertical="center" wrapText="1"/>
    </xf>
    <xf numFmtId="1" fontId="6" fillId="10" borderId="2" xfId="1" applyNumberFormat="1" applyFont="1" applyFill="1" applyBorder="1" applyAlignment="1">
      <alignment horizontal="center" vertical="center" wrapText="1"/>
    </xf>
    <xf numFmtId="0" fontId="9" fillId="0" borderId="24" xfId="0" applyFont="1" applyBorder="1" applyAlignment="1">
      <alignment horizontal="left" vertical="top" wrapText="1"/>
    </xf>
    <xf numFmtId="0" fontId="11" fillId="0" borderId="24" xfId="0" applyFont="1" applyBorder="1" applyAlignment="1">
      <alignment horizontal="left" vertical="top" wrapText="1"/>
    </xf>
    <xf numFmtId="0" fontId="11" fillId="0" borderId="24" xfId="0" applyFont="1" applyBorder="1" applyAlignment="1">
      <alignment vertical="top" wrapText="1"/>
    </xf>
    <xf numFmtId="0" fontId="11" fillId="3" borderId="24" xfId="0" applyFont="1" applyFill="1" applyBorder="1" applyAlignment="1">
      <alignment horizontal="left" vertical="top" wrapText="1"/>
    </xf>
    <xf numFmtId="0" fontId="11" fillId="4" borderId="24" xfId="0" applyFont="1" applyFill="1" applyBorder="1" applyAlignment="1">
      <alignment horizontal="left" vertical="top" wrapText="1"/>
    </xf>
    <xf numFmtId="0" fontId="11" fillId="0" borderId="24" xfId="0" applyFont="1" applyBorder="1" applyAlignment="1">
      <alignment horizontal="left" vertical="center" wrapText="1"/>
    </xf>
    <xf numFmtId="0" fontId="9" fillId="0" borderId="24" xfId="0" applyFont="1" applyBorder="1" applyAlignment="1">
      <alignment horizontal="left" vertical="center" wrapText="1"/>
    </xf>
    <xf numFmtId="0" fontId="9" fillId="0" borderId="27" xfId="0" applyFont="1" applyBorder="1" applyAlignment="1">
      <alignment horizontal="left" vertical="top" wrapText="1"/>
    </xf>
    <xf numFmtId="0" fontId="6" fillId="2" borderId="6" xfId="0" applyFont="1" applyFill="1" applyBorder="1" applyAlignment="1">
      <alignment vertical="center" wrapText="1"/>
    </xf>
    <xf numFmtId="0" fontId="9" fillId="0" borderId="28" xfId="0" applyFont="1" applyBorder="1" applyAlignment="1">
      <alignment vertical="top" wrapText="1"/>
    </xf>
    <xf numFmtId="0" fontId="9" fillId="0" borderId="29" xfId="0" applyFont="1" applyBorder="1" applyAlignment="1">
      <alignment vertical="top" wrapText="1"/>
    </xf>
    <xf numFmtId="0" fontId="9" fillId="0" borderId="25" xfId="0" applyFont="1" applyBorder="1" applyAlignment="1">
      <alignment vertical="top" wrapText="1"/>
    </xf>
    <xf numFmtId="0" fontId="11" fillId="0" borderId="1" xfId="2" applyFont="1" applyBorder="1" applyAlignment="1">
      <alignment horizontal="center" vertical="top" wrapText="1"/>
    </xf>
    <xf numFmtId="0" fontId="6" fillId="0" borderId="1" xfId="0" applyFont="1" applyBorder="1" applyAlignment="1">
      <alignment vertical="center" wrapText="1"/>
    </xf>
    <xf numFmtId="0" fontId="10" fillId="0" borderId="1" xfId="0" applyFont="1" applyBorder="1" applyAlignment="1">
      <alignment vertical="top" wrapText="1"/>
    </xf>
    <xf numFmtId="164" fontId="11" fillId="0" borderId="1" xfId="0" applyNumberFormat="1" applyFont="1" applyBorder="1" applyAlignment="1">
      <alignment horizontal="center" vertical="center" wrapText="1"/>
    </xf>
    <xf numFmtId="0" fontId="8" fillId="4" borderId="0" xfId="0" applyFont="1" applyFill="1" applyAlignment="1">
      <alignment horizontal="center" vertical="top" wrapText="1"/>
    </xf>
    <xf numFmtId="0" fontId="9" fillId="0" borderId="1" xfId="0" applyFont="1" applyBorder="1" applyAlignment="1">
      <alignment wrapText="1"/>
    </xf>
    <xf numFmtId="0" fontId="9" fillId="0" borderId="1" xfId="0" applyFont="1" applyBorder="1" applyAlignment="1">
      <alignment horizontal="center" vertical="top" wrapText="1"/>
    </xf>
    <xf numFmtId="0" fontId="9" fillId="0" borderId="1" xfId="0" applyFont="1" applyBorder="1"/>
    <xf numFmtId="0" fontId="16" fillId="0" borderId="1" xfId="0" applyFont="1" applyBorder="1" applyAlignment="1">
      <alignment vertical="top" wrapText="1"/>
    </xf>
    <xf numFmtId="1" fontId="6" fillId="10" borderId="5" xfId="1" applyNumberFormat="1" applyFont="1" applyFill="1" applyBorder="1" applyAlignment="1">
      <alignment horizontal="center" vertical="center" wrapText="1"/>
    </xf>
    <xf numFmtId="0" fontId="6" fillId="2" borderId="5" xfId="0" applyFont="1" applyFill="1" applyBorder="1" applyAlignment="1">
      <alignment vertical="center" wrapText="1"/>
    </xf>
    <xf numFmtId="0" fontId="6" fillId="2" borderId="5" xfId="0" applyFont="1" applyFill="1" applyBorder="1" applyAlignment="1">
      <alignment horizontal="left" vertical="top" wrapText="1"/>
    </xf>
    <xf numFmtId="0" fontId="9" fillId="0" borderId="24" xfId="0" applyFont="1" applyBorder="1" applyAlignment="1">
      <alignment vertical="top" wrapText="1"/>
    </xf>
    <xf numFmtId="0" fontId="12" fillId="0" borderId="2" xfId="0" applyFont="1" applyBorder="1" applyAlignment="1">
      <alignment horizontal="center" vertical="top" wrapText="1"/>
    </xf>
    <xf numFmtId="0" fontId="11" fillId="0" borderId="3" xfId="0" applyFont="1" applyBorder="1" applyAlignment="1">
      <alignment vertical="top" wrapText="1"/>
    </xf>
    <xf numFmtId="0" fontId="6" fillId="4" borderId="3" xfId="0" applyFont="1" applyFill="1" applyBorder="1" applyAlignment="1">
      <alignment horizontal="left" vertical="center" wrapText="1"/>
    </xf>
    <xf numFmtId="1" fontId="12" fillId="11" borderId="3" xfId="1" applyNumberFormat="1" applyFont="1" applyFill="1" applyBorder="1" applyAlignment="1">
      <alignment horizontal="center" vertical="center" wrapText="1"/>
    </xf>
    <xf numFmtId="1" fontId="6" fillId="10" borderId="3" xfId="1" applyNumberFormat="1" applyFont="1" applyFill="1" applyBorder="1" applyAlignment="1">
      <alignment horizontal="center" vertical="center" wrapText="1"/>
    </xf>
    <xf numFmtId="9" fontId="6" fillId="10" borderId="3" xfId="1" applyFont="1" applyFill="1" applyBorder="1" applyAlignment="1">
      <alignment horizontal="center" vertical="center" wrapText="1"/>
    </xf>
    <xf numFmtId="0" fontId="11" fillId="0" borderId="26" xfId="0" applyFont="1" applyBorder="1" applyAlignment="1">
      <alignment horizontal="left" vertical="top" wrapText="1"/>
    </xf>
    <xf numFmtId="0" fontId="6" fillId="9" borderId="5" xfId="0" applyFont="1" applyFill="1" applyBorder="1" applyAlignment="1">
      <alignment horizontal="center" vertical="top" wrapText="1"/>
    </xf>
    <xf numFmtId="9" fontId="5" fillId="10" borderId="2" xfId="1" applyFont="1" applyFill="1" applyBorder="1" applyAlignment="1">
      <alignment horizontal="center" vertical="center" wrapText="1"/>
    </xf>
    <xf numFmtId="0" fontId="6" fillId="4" borderId="3" xfId="0" applyFont="1" applyFill="1" applyBorder="1" applyAlignment="1">
      <alignment vertical="center" wrapText="1"/>
    </xf>
    <xf numFmtId="0" fontId="9" fillId="0" borderId="26" xfId="0" applyFont="1" applyBorder="1" applyAlignment="1">
      <alignment horizontal="left" vertical="top" wrapText="1"/>
    </xf>
    <xf numFmtId="0" fontId="5" fillId="2" borderId="5" xfId="0" applyFont="1" applyFill="1" applyBorder="1" applyAlignment="1">
      <alignment horizontal="left" vertical="top" wrapText="1"/>
    </xf>
    <xf numFmtId="0" fontId="5" fillId="9" borderId="5" xfId="0" applyFont="1" applyFill="1" applyBorder="1" applyAlignment="1">
      <alignment horizontal="center" vertical="top" wrapText="1"/>
    </xf>
    <xf numFmtId="0" fontId="5" fillId="2" borderId="5" xfId="0" applyFont="1" applyFill="1" applyBorder="1" applyAlignment="1">
      <alignment vertical="top" wrapText="1"/>
    </xf>
    <xf numFmtId="0" fontId="11" fillId="0" borderId="2" xfId="0" applyFont="1" applyBorder="1" applyAlignment="1">
      <alignment horizontal="center" vertical="top" wrapText="1"/>
    </xf>
    <xf numFmtId="0" fontId="11" fillId="4" borderId="2" xfId="0" applyFont="1" applyFill="1" applyBorder="1" applyAlignment="1">
      <alignment horizontal="center" vertical="center" wrapText="1"/>
    </xf>
    <xf numFmtId="0" fontId="11" fillId="0" borderId="27" xfId="0" applyFont="1" applyBorder="1" applyAlignment="1">
      <alignment horizontal="left" vertical="top" wrapText="1"/>
    </xf>
    <xf numFmtId="0" fontId="11" fillId="4" borderId="27" xfId="0" applyFont="1" applyFill="1" applyBorder="1" applyAlignment="1">
      <alignment horizontal="left" vertical="top" wrapText="1"/>
    </xf>
    <xf numFmtId="0" fontId="6" fillId="4" borderId="3" xfId="0" applyFont="1" applyFill="1" applyBorder="1" applyAlignment="1">
      <alignment horizontal="center" vertical="center" wrapText="1"/>
    </xf>
    <xf numFmtId="0" fontId="9" fillId="0" borderId="3" xfId="0" applyFont="1" applyBorder="1" applyAlignment="1">
      <alignment vertical="top" wrapText="1"/>
    </xf>
    <xf numFmtId="0" fontId="9" fillId="0" borderId="3" xfId="0" applyFont="1" applyBorder="1" applyAlignment="1">
      <alignment wrapText="1"/>
    </xf>
    <xf numFmtId="0" fontId="9" fillId="0" borderId="3" xfId="0" applyFont="1" applyBorder="1" applyAlignment="1">
      <alignment horizontal="center" vertical="top" wrapText="1"/>
    </xf>
    <xf numFmtId="0" fontId="18" fillId="2" borderId="5" xfId="0" applyFont="1" applyFill="1" applyBorder="1" applyAlignment="1">
      <alignment vertical="top" wrapText="1"/>
    </xf>
    <xf numFmtId="0" fontId="18" fillId="2" borderId="5" xfId="0" applyFont="1" applyFill="1" applyBorder="1" applyAlignment="1">
      <alignment horizontal="center" vertical="top" wrapText="1"/>
    </xf>
    <xf numFmtId="44" fontId="18" fillId="2" borderId="5" xfId="5" applyFont="1" applyFill="1" applyBorder="1" applyAlignment="1">
      <alignment horizontal="center" vertical="center" wrapText="1"/>
    </xf>
    <xf numFmtId="0" fontId="18" fillId="2" borderId="5" xfId="0" applyFont="1" applyFill="1" applyBorder="1" applyAlignment="1">
      <alignment vertical="center" wrapText="1"/>
    </xf>
    <xf numFmtId="0" fontId="6" fillId="2" borderId="4" xfId="0" applyFont="1" applyFill="1" applyBorder="1" applyAlignment="1">
      <alignment vertical="top"/>
    </xf>
    <xf numFmtId="0" fontId="12" fillId="0" borderId="1" xfId="0" applyFont="1" applyBorder="1" applyAlignment="1">
      <alignment vertical="top" wrapText="1"/>
    </xf>
    <xf numFmtId="0" fontId="8" fillId="4" borderId="0" xfId="0" applyFont="1" applyFill="1" applyAlignment="1">
      <alignment horizontal="left" vertical="top" wrapText="1"/>
    </xf>
    <xf numFmtId="0" fontId="8" fillId="12" borderId="0" xfId="0" applyFont="1" applyFill="1" applyAlignment="1">
      <alignment vertical="center" wrapText="1"/>
    </xf>
    <xf numFmtId="0" fontId="5" fillId="12" borderId="0" xfId="0" applyFont="1" applyFill="1" applyAlignment="1">
      <alignment horizontal="center" vertical="center" wrapText="1"/>
    </xf>
    <xf numFmtId="0" fontId="0" fillId="12" borderId="0" xfId="0" applyFill="1"/>
    <xf numFmtId="0" fontId="6" fillId="0" borderId="1" xfId="0" applyFont="1" applyBorder="1" applyAlignment="1">
      <alignment horizontal="left" vertical="center" wrapText="1"/>
    </xf>
    <xf numFmtId="0" fontId="9" fillId="0" borderId="1" xfId="0" applyFont="1" applyBorder="1" applyAlignment="1">
      <alignment horizontal="center" vertical="center" wrapText="1"/>
    </xf>
    <xf numFmtId="0" fontId="11" fillId="0" borderId="1" xfId="0" applyFont="1" applyBorder="1" applyAlignment="1">
      <alignment horizontal="left" vertical="center" wrapText="1"/>
    </xf>
    <xf numFmtId="1" fontId="11" fillId="11" borderId="1" xfId="1" applyNumberFormat="1" applyFont="1" applyFill="1" applyBorder="1" applyAlignment="1">
      <alignment horizontal="center" vertical="center" wrapText="1"/>
    </xf>
    <xf numFmtId="1" fontId="18" fillId="10" borderId="1" xfId="1" applyNumberFormat="1" applyFont="1" applyFill="1" applyBorder="1" applyAlignment="1">
      <alignment horizontal="center" vertical="center" wrapText="1"/>
    </xf>
    <xf numFmtId="0" fontId="3" fillId="4" borderId="0" xfId="0" applyFont="1" applyFill="1" applyAlignment="1">
      <alignment vertical="top" wrapText="1"/>
    </xf>
    <xf numFmtId="0" fontId="10" fillId="0" borderId="2" xfId="0" applyFont="1" applyBorder="1" applyAlignment="1">
      <alignment vertical="top" wrapText="1"/>
    </xf>
    <xf numFmtId="0" fontId="12" fillId="4" borderId="1" xfId="0" applyFont="1" applyFill="1" applyBorder="1" applyAlignment="1">
      <alignment vertical="top" wrapText="1"/>
    </xf>
    <xf numFmtId="0" fontId="12" fillId="0" borderId="2" xfId="0" applyFont="1" applyBorder="1" applyAlignment="1">
      <alignment vertical="top" wrapText="1"/>
    </xf>
    <xf numFmtId="0" fontId="10" fillId="0" borderId="1" xfId="3" applyFont="1" applyBorder="1" applyAlignment="1">
      <alignment vertical="top" wrapText="1"/>
    </xf>
    <xf numFmtId="0" fontId="12" fillId="3" borderId="1" xfId="0" applyFont="1" applyFill="1" applyBorder="1" applyAlignment="1">
      <alignment vertical="top" wrapText="1"/>
    </xf>
    <xf numFmtId="0" fontId="3" fillId="0" borderId="0" xfId="0" applyFont="1" applyAlignment="1">
      <alignment vertical="top" wrapText="1"/>
    </xf>
    <xf numFmtId="0" fontId="0" fillId="12" borderId="0" xfId="0" applyFill="1" applyAlignment="1">
      <alignment vertical="top"/>
    </xf>
    <xf numFmtId="0" fontId="13" fillId="0" borderId="1" xfId="0" applyFont="1" applyBorder="1" applyAlignment="1">
      <alignment horizontal="center" vertical="center" wrapText="1"/>
    </xf>
    <xf numFmtId="9" fontId="17" fillId="0" borderId="1" xfId="0" applyNumberFormat="1" applyFont="1" applyBorder="1" applyAlignment="1">
      <alignment horizontal="center" vertical="center" wrapText="1"/>
    </xf>
    <xf numFmtId="0" fontId="8" fillId="12" borderId="0" xfId="0" applyFont="1" applyFill="1" applyAlignment="1">
      <alignment vertical="top" wrapText="1"/>
    </xf>
    <xf numFmtId="0" fontId="3" fillId="12" borderId="0" xfId="0" applyFont="1" applyFill="1" applyAlignment="1">
      <alignment vertical="top" wrapText="1"/>
    </xf>
    <xf numFmtId="0" fontId="22" fillId="4" borderId="0" xfId="0" applyFont="1" applyFill="1"/>
    <xf numFmtId="0" fontId="22" fillId="0" borderId="1" xfId="0" applyFont="1" applyBorder="1"/>
    <xf numFmtId="0" fontId="22" fillId="0" borderId="2" xfId="0" applyFont="1" applyBorder="1"/>
    <xf numFmtId="9" fontId="3" fillId="5" borderId="3" xfId="1" applyFont="1" applyFill="1" applyBorder="1" applyAlignment="1">
      <alignment horizontal="center" vertical="center" wrapText="1"/>
    </xf>
    <xf numFmtId="0" fontId="22" fillId="0" borderId="3" xfId="0" applyFont="1" applyBorder="1"/>
    <xf numFmtId="9" fontId="3" fillId="7" borderId="3" xfId="1" applyFont="1" applyFill="1" applyBorder="1" applyAlignment="1">
      <alignment horizontal="center" vertical="center" wrapText="1"/>
    </xf>
    <xf numFmtId="9" fontId="3" fillId="8" borderId="3" xfId="1" applyFont="1" applyFill="1" applyBorder="1" applyAlignment="1">
      <alignment horizontal="center" vertical="center" wrapText="1"/>
    </xf>
    <xf numFmtId="9" fontId="3" fillId="7" borderId="1" xfId="1" applyFont="1" applyFill="1" applyBorder="1" applyAlignment="1">
      <alignment horizontal="center" vertical="center" wrapText="1"/>
    </xf>
    <xf numFmtId="9" fontId="3" fillId="8" borderId="1" xfId="1" applyFont="1" applyFill="1" applyBorder="1" applyAlignment="1">
      <alignment horizontal="center" vertical="center" wrapText="1"/>
    </xf>
    <xf numFmtId="0" fontId="8" fillId="0" borderId="1" xfId="0" applyFont="1" applyBorder="1" applyAlignment="1">
      <alignment horizontal="center" vertical="center" wrapText="1"/>
    </xf>
    <xf numFmtId="9" fontId="8" fillId="7" borderId="1" xfId="1" applyFont="1" applyFill="1" applyBorder="1" applyAlignment="1">
      <alignment horizontal="center" vertical="center" wrapText="1"/>
    </xf>
    <xf numFmtId="9" fontId="8" fillId="8" borderId="1" xfId="1" applyFont="1" applyFill="1" applyBorder="1" applyAlignment="1">
      <alignment horizontal="center" vertical="center" wrapText="1"/>
    </xf>
    <xf numFmtId="9" fontId="3" fillId="6" borderId="3" xfId="1" applyFont="1" applyFill="1" applyBorder="1" applyAlignment="1">
      <alignment horizontal="center" vertical="center" wrapText="1"/>
    </xf>
    <xf numFmtId="9" fontId="22" fillId="0" borderId="1" xfId="0" applyNumberFormat="1" applyFont="1" applyBorder="1"/>
    <xf numFmtId="0" fontId="23" fillId="12" borderId="0" xfId="0" applyFont="1" applyFill="1"/>
    <xf numFmtId="0" fontId="23" fillId="0" borderId="0" xfId="0" applyFont="1"/>
    <xf numFmtId="1" fontId="24" fillId="0" borderId="1" xfId="0" applyNumberFormat="1" applyFont="1" applyBorder="1" applyAlignment="1">
      <alignment horizontal="center" vertical="center" wrapText="1"/>
    </xf>
    <xf numFmtId="9" fontId="24" fillId="0" borderId="1" xfId="1" applyFont="1" applyFill="1" applyBorder="1" applyAlignment="1">
      <alignment horizontal="center" vertical="center" wrapText="1"/>
    </xf>
    <xf numFmtId="9" fontId="25" fillId="11" borderId="1" xfId="1" applyFont="1" applyFill="1" applyBorder="1" applyAlignment="1">
      <alignment horizontal="center" vertical="center" wrapText="1"/>
    </xf>
    <xf numFmtId="0" fontId="26" fillId="10" borderId="0" xfId="0" applyFont="1" applyFill="1" applyAlignment="1">
      <alignment horizontal="center" vertical="center" wrapText="1"/>
    </xf>
    <xf numFmtId="0" fontId="4" fillId="10" borderId="31" xfId="0" applyFont="1" applyFill="1" applyBorder="1" applyAlignment="1">
      <alignment horizontal="center" vertical="center" wrapText="1"/>
    </xf>
    <xf numFmtId="0" fontId="4" fillId="10" borderId="31" xfId="0" applyFont="1" applyFill="1" applyBorder="1" applyAlignment="1">
      <alignment vertical="center" wrapText="1"/>
    </xf>
    <xf numFmtId="0" fontId="5" fillId="10" borderId="36" xfId="0" applyFont="1" applyFill="1" applyBorder="1" applyAlignment="1">
      <alignment horizontal="center" vertical="center" wrapText="1"/>
    </xf>
    <xf numFmtId="0" fontId="5" fillId="10" borderId="37" xfId="0" applyFont="1" applyFill="1" applyBorder="1" applyAlignment="1">
      <alignment vertical="center" wrapText="1"/>
    </xf>
    <xf numFmtId="9" fontId="5" fillId="10" borderId="36" xfId="1" applyFont="1" applyFill="1" applyBorder="1" applyAlignment="1">
      <alignment horizontal="center" vertical="center" wrapText="1"/>
    </xf>
    <xf numFmtId="9" fontId="5" fillId="10" borderId="37" xfId="1" applyFont="1" applyFill="1" applyBorder="1" applyAlignment="1">
      <alignment horizontal="center" vertical="center" wrapText="1"/>
    </xf>
    <xf numFmtId="9" fontId="5" fillId="10" borderId="38" xfId="1" applyFont="1" applyFill="1" applyBorder="1" applyAlignment="1">
      <alignment horizontal="center" vertical="center" wrapText="1"/>
    </xf>
    <xf numFmtId="9" fontId="5" fillId="10" borderId="39" xfId="1" applyFont="1" applyFill="1" applyBorder="1" applyAlignment="1">
      <alignment horizontal="center" vertical="center" wrapText="1"/>
    </xf>
    <xf numFmtId="0" fontId="5" fillId="2" borderId="40" xfId="0" applyFont="1" applyFill="1" applyBorder="1" applyAlignment="1">
      <alignment horizontal="left" vertical="top" wrapText="1"/>
    </xf>
    <xf numFmtId="0" fontId="5" fillId="2" borderId="24" xfId="0" applyFont="1" applyFill="1" applyBorder="1" applyAlignment="1">
      <alignment horizontal="left" vertical="top" wrapText="1"/>
    </xf>
    <xf numFmtId="9" fontId="6" fillId="10" borderId="41" xfId="1" applyFont="1" applyFill="1" applyBorder="1" applyAlignment="1">
      <alignment horizontal="center" vertical="center" wrapText="1"/>
    </xf>
    <xf numFmtId="9" fontId="6" fillId="10" borderId="42" xfId="1" applyFont="1" applyFill="1" applyBorder="1" applyAlignment="1">
      <alignment horizontal="center" vertical="center" wrapText="1"/>
    </xf>
    <xf numFmtId="9" fontId="6" fillId="10" borderId="36" xfId="1" applyFont="1" applyFill="1" applyBorder="1" applyAlignment="1">
      <alignment horizontal="center" vertical="center" wrapText="1"/>
    </xf>
    <xf numFmtId="9" fontId="6" fillId="10" borderId="37" xfId="1" applyFont="1" applyFill="1" applyBorder="1" applyAlignment="1">
      <alignment horizontal="center" vertical="center" wrapText="1"/>
    </xf>
    <xf numFmtId="1" fontId="6" fillId="10" borderId="36" xfId="1" applyNumberFormat="1" applyFont="1" applyFill="1" applyBorder="1" applyAlignment="1">
      <alignment horizontal="center" vertical="center" wrapText="1"/>
    </xf>
    <xf numFmtId="1" fontId="6" fillId="10" borderId="37" xfId="1" applyNumberFormat="1" applyFont="1" applyFill="1" applyBorder="1" applyAlignment="1">
      <alignment horizontal="center" vertical="center" wrapText="1"/>
    </xf>
    <xf numFmtId="1" fontId="18" fillId="10" borderId="36" xfId="1" applyNumberFormat="1" applyFont="1" applyFill="1" applyBorder="1" applyAlignment="1">
      <alignment horizontal="center" vertical="center" wrapText="1"/>
    </xf>
    <xf numFmtId="1" fontId="18" fillId="10" borderId="37" xfId="1" applyNumberFormat="1" applyFont="1" applyFill="1" applyBorder="1" applyAlignment="1">
      <alignment horizontal="center" vertical="center" wrapText="1"/>
    </xf>
    <xf numFmtId="1" fontId="6" fillId="10" borderId="38" xfId="1" applyNumberFormat="1" applyFont="1" applyFill="1" applyBorder="1" applyAlignment="1">
      <alignment horizontal="center" vertical="center" wrapText="1"/>
    </xf>
    <xf numFmtId="1" fontId="6" fillId="10" borderId="39" xfId="1" applyNumberFormat="1" applyFont="1" applyFill="1" applyBorder="1" applyAlignment="1">
      <alignment horizontal="center" vertical="center" wrapText="1"/>
    </xf>
    <xf numFmtId="1" fontId="6" fillId="10" borderId="40" xfId="1" applyNumberFormat="1" applyFont="1" applyFill="1" applyBorder="1" applyAlignment="1">
      <alignment horizontal="center" vertical="center" wrapText="1"/>
    </xf>
    <xf numFmtId="0" fontId="6" fillId="2" borderId="24" xfId="0" applyFont="1" applyFill="1" applyBorder="1" applyAlignment="1">
      <alignment vertical="center" wrapText="1"/>
    </xf>
    <xf numFmtId="1" fontId="6" fillId="10" borderId="41" xfId="1" applyNumberFormat="1" applyFont="1" applyFill="1" applyBorder="1" applyAlignment="1">
      <alignment horizontal="center" vertical="center" wrapText="1"/>
    </xf>
    <xf numFmtId="0" fontId="6" fillId="2" borderId="40" xfId="0" applyFont="1" applyFill="1" applyBorder="1" applyAlignment="1">
      <alignment horizontal="left" vertical="top" wrapText="1"/>
    </xf>
    <xf numFmtId="0" fontId="6" fillId="2" borderId="24" xfId="0" applyFont="1" applyFill="1" applyBorder="1" applyAlignment="1">
      <alignment horizontal="left" vertical="top" wrapText="1"/>
    </xf>
    <xf numFmtId="0" fontId="6" fillId="2" borderId="40" xfId="0" applyFont="1" applyFill="1" applyBorder="1" applyAlignment="1">
      <alignment vertical="center" wrapText="1"/>
    </xf>
    <xf numFmtId="1" fontId="6" fillId="10" borderId="42" xfId="1" applyNumberFormat="1" applyFont="1" applyFill="1" applyBorder="1" applyAlignment="1">
      <alignment horizontal="center" vertical="center" wrapText="1"/>
    </xf>
    <xf numFmtId="1" fontId="6" fillId="10" borderId="43" xfId="1" applyNumberFormat="1" applyFont="1" applyFill="1" applyBorder="1" applyAlignment="1">
      <alignment horizontal="center" vertical="center" wrapText="1"/>
    </xf>
    <xf numFmtId="1" fontId="6" fillId="10" borderId="44" xfId="1" applyNumberFormat="1" applyFont="1" applyFill="1" applyBorder="1" applyAlignment="1">
      <alignment horizontal="center" vertical="center" wrapText="1"/>
    </xf>
    <xf numFmtId="1" fontId="6" fillId="10" borderId="45" xfId="1" applyNumberFormat="1" applyFont="1" applyFill="1" applyBorder="1" applyAlignment="1">
      <alignment horizontal="center" vertical="center" wrapText="1"/>
    </xf>
    <xf numFmtId="9" fontId="3" fillId="11" borderId="4" xfId="1" applyFont="1" applyFill="1" applyBorder="1" applyAlignment="1">
      <alignment horizontal="center" vertical="center" wrapText="1"/>
    </xf>
    <xf numFmtId="1" fontId="3" fillId="11" borderId="4" xfId="1" applyNumberFormat="1" applyFont="1" applyFill="1" applyBorder="1" applyAlignment="1">
      <alignment horizontal="center" vertical="center" wrapText="1"/>
    </xf>
    <xf numFmtId="1" fontId="3" fillId="11" borderId="46" xfId="1" applyNumberFormat="1" applyFont="1" applyFill="1" applyBorder="1" applyAlignment="1">
      <alignment horizontal="center" vertical="center" wrapText="1"/>
    </xf>
    <xf numFmtId="1" fontId="12" fillId="11" borderId="9" xfId="1" applyNumberFormat="1" applyFont="1" applyFill="1" applyBorder="1" applyAlignment="1">
      <alignment horizontal="center" vertical="center" wrapText="1"/>
    </xf>
    <xf numFmtId="1" fontId="12" fillId="11" borderId="4" xfId="1" applyNumberFormat="1" applyFont="1" applyFill="1" applyBorder="1" applyAlignment="1">
      <alignment horizontal="center" vertical="center" wrapText="1"/>
    </xf>
    <xf numFmtId="1" fontId="11" fillId="11" borderId="4" xfId="1" applyNumberFormat="1" applyFont="1" applyFill="1" applyBorder="1" applyAlignment="1">
      <alignment horizontal="center" vertical="center" wrapText="1"/>
    </xf>
    <xf numFmtId="1" fontId="12" fillId="11" borderId="46" xfId="1" applyNumberFormat="1" applyFont="1" applyFill="1" applyBorder="1" applyAlignment="1">
      <alignment horizontal="center" vertical="center" wrapText="1"/>
    </xf>
    <xf numFmtId="9" fontId="12" fillId="11" borderId="4" xfId="1" applyFont="1" applyFill="1" applyBorder="1" applyAlignment="1">
      <alignment horizontal="center" vertical="center" wrapText="1"/>
    </xf>
    <xf numFmtId="9" fontId="25" fillId="11" borderId="4" xfId="1" applyFont="1" applyFill="1" applyBorder="1" applyAlignment="1">
      <alignment horizontal="center" vertical="center" wrapText="1"/>
    </xf>
    <xf numFmtId="0" fontId="8" fillId="0" borderId="24" xfId="0" applyFont="1" applyBorder="1" applyAlignment="1">
      <alignment horizontal="left" vertical="top" wrapText="1"/>
    </xf>
    <xf numFmtId="0" fontId="8" fillId="0" borderId="27" xfId="0" applyFont="1" applyBorder="1" applyAlignment="1">
      <alignment horizontal="left" vertical="top" wrapText="1"/>
    </xf>
    <xf numFmtId="1" fontId="19" fillId="10" borderId="36" xfId="1"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4" borderId="0" xfId="0" applyFont="1" applyFill="1" applyAlignment="1">
      <alignment horizontal="right" vertical="top" wrapText="1"/>
    </xf>
    <xf numFmtId="15" fontId="11" fillId="4" borderId="0" xfId="0" applyNumberFormat="1" applyFont="1" applyFill="1" applyAlignment="1">
      <alignment horizontal="left" vertical="top" wrapText="1"/>
    </xf>
    <xf numFmtId="0" fontId="12" fillId="0" borderId="0" xfId="0" applyFont="1" applyAlignment="1">
      <alignment horizontal="right" vertical="top" wrapText="1"/>
    </xf>
    <xf numFmtId="0" fontId="27" fillId="4" borderId="0" xfId="0" applyFont="1" applyFill="1" applyAlignment="1">
      <alignment horizontal="right" vertical="top" wrapText="1"/>
    </xf>
    <xf numFmtId="0" fontId="28" fillId="4" borderId="0" xfId="0" applyFont="1" applyFill="1" applyAlignment="1">
      <alignment vertical="top" wrapText="1"/>
    </xf>
    <xf numFmtId="0" fontId="11" fillId="13" borderId="1" xfId="0" applyFont="1" applyFill="1" applyBorder="1" applyAlignment="1">
      <alignment horizontal="center" vertical="center" wrapText="1"/>
    </xf>
    <xf numFmtId="9" fontId="11" fillId="0" borderId="1" xfId="1" applyFont="1" applyBorder="1" applyAlignment="1">
      <alignment horizontal="center" vertical="center" wrapText="1"/>
    </xf>
    <xf numFmtId="0" fontId="11" fillId="13" borderId="2"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22" fillId="4" borderId="48" xfId="0" applyFont="1" applyFill="1" applyBorder="1" applyAlignment="1">
      <alignment textRotation="90"/>
    </xf>
    <xf numFmtId="0" fontId="11" fillId="14" borderId="1" xfId="0" applyFont="1" applyFill="1" applyBorder="1" applyAlignment="1">
      <alignment horizontal="center" vertical="center" wrapText="1"/>
    </xf>
    <xf numFmtId="9" fontId="6" fillId="4" borderId="3" xfId="1" applyFont="1" applyFill="1" applyBorder="1" applyAlignment="1">
      <alignment horizontal="center" vertical="center" wrapText="1"/>
    </xf>
    <xf numFmtId="9" fontId="12" fillId="11" borderId="3" xfId="1" applyFont="1" applyFill="1" applyBorder="1" applyAlignment="1">
      <alignment horizontal="center" vertical="center" wrapText="1"/>
    </xf>
    <xf numFmtId="9" fontId="6" fillId="4" borderId="1" xfId="1" applyFont="1" applyFill="1" applyBorder="1" applyAlignment="1">
      <alignment horizontal="center" vertical="center" wrapText="1"/>
    </xf>
    <xf numFmtId="9" fontId="6" fillId="0" borderId="1" xfId="1" applyFont="1" applyBorder="1" applyAlignment="1">
      <alignment horizontal="center" vertical="center" wrapText="1"/>
    </xf>
    <xf numFmtId="9" fontId="29" fillId="4" borderId="3" xfId="1" applyFont="1" applyFill="1" applyBorder="1" applyAlignment="1">
      <alignment horizontal="center" vertical="center" wrapText="1"/>
    </xf>
    <xf numFmtId="9" fontId="29" fillId="11" borderId="3" xfId="1" applyFont="1" applyFill="1" applyBorder="1" applyAlignment="1">
      <alignment horizontal="center" vertical="center" wrapText="1"/>
    </xf>
    <xf numFmtId="9" fontId="29" fillId="11" borderId="9" xfId="1" applyFont="1" applyFill="1" applyBorder="1" applyAlignment="1">
      <alignment horizontal="center" vertical="center" wrapText="1"/>
    </xf>
    <xf numFmtId="9" fontId="29" fillId="4" borderId="1" xfId="1" applyFont="1" applyFill="1" applyBorder="1" applyAlignment="1">
      <alignment horizontal="center" vertical="center" wrapText="1"/>
    </xf>
    <xf numFmtId="0" fontId="10" fillId="0" borderId="1" xfId="0" applyFont="1" applyBorder="1" applyAlignment="1">
      <alignment wrapText="1"/>
    </xf>
    <xf numFmtId="0" fontId="10" fillId="0" borderId="1" xfId="0" applyFont="1" applyBorder="1" applyAlignment="1">
      <alignment horizontal="center" vertical="top" wrapText="1"/>
    </xf>
    <xf numFmtId="0" fontId="30" fillId="12" borderId="0" xfId="0" applyFont="1" applyFill="1"/>
    <xf numFmtId="0" fontId="22" fillId="4" borderId="0" xfId="0" applyFont="1" applyFill="1" applyAlignment="1">
      <alignment horizontal="left"/>
    </xf>
    <xf numFmtId="0" fontId="3" fillId="4" borderId="0" xfId="0" applyFont="1" applyFill="1" applyAlignment="1">
      <alignment horizontal="right"/>
    </xf>
    <xf numFmtId="0" fontId="9" fillId="0" borderId="1" xfId="0" applyFont="1" applyBorder="1" applyAlignment="1">
      <alignment vertical="top" wrapText="1"/>
    </xf>
    <xf numFmtId="0" fontId="11" fillId="0" borderId="2" xfId="0" applyFont="1" applyBorder="1" applyAlignment="1">
      <alignment vertical="top" wrapText="1"/>
    </xf>
    <xf numFmtId="0" fontId="11" fillId="0" borderId="16" xfId="0" applyFont="1" applyBorder="1" applyAlignment="1">
      <alignment vertical="top" wrapText="1"/>
    </xf>
    <xf numFmtId="0" fontId="11" fillId="0" borderId="3" xfId="0" applyFont="1" applyBorder="1" applyAlignment="1">
      <alignment vertical="top" wrapText="1"/>
    </xf>
    <xf numFmtId="0" fontId="12" fillId="0" borderId="1" xfId="0" applyFont="1" applyBorder="1" applyAlignment="1">
      <alignment vertical="top" wrapText="1"/>
    </xf>
    <xf numFmtId="0" fontId="10" fillId="0" borderId="1" xfId="0" applyFont="1" applyBorder="1" applyAlignment="1">
      <alignment vertical="top" wrapText="1"/>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12" fillId="0" borderId="3" xfId="0" applyFont="1" applyBorder="1" applyAlignment="1">
      <alignment vertical="top" wrapText="1"/>
    </xf>
    <xf numFmtId="0" fontId="11" fillId="0" borderId="1" xfId="0" applyFont="1" applyBorder="1" applyAlignment="1">
      <alignment vertical="top" wrapText="1"/>
    </xf>
    <xf numFmtId="0" fontId="10" fillId="0" borderId="2" xfId="0" applyFont="1" applyBorder="1" applyAlignment="1">
      <alignment vertical="top" wrapText="1"/>
    </xf>
    <xf numFmtId="0" fontId="10" fillId="0" borderId="16" xfId="0" applyFont="1" applyBorder="1" applyAlignment="1">
      <alignment vertical="top" wrapText="1"/>
    </xf>
    <xf numFmtId="0" fontId="10" fillId="0" borderId="3" xfId="0" applyFont="1" applyBorder="1" applyAlignment="1">
      <alignment vertical="top" wrapText="1"/>
    </xf>
    <xf numFmtId="0" fontId="12" fillId="0" borderId="2" xfId="0" applyFont="1" applyBorder="1" applyAlignment="1">
      <alignment vertical="top" wrapText="1"/>
    </xf>
    <xf numFmtId="0" fontId="21" fillId="10" borderId="23" xfId="0" applyFont="1" applyFill="1" applyBorder="1" applyAlignment="1">
      <alignment horizontal="center" vertical="center" wrapText="1"/>
    </xf>
    <xf numFmtId="0" fontId="21" fillId="10" borderId="22" xfId="0" applyFont="1" applyFill="1" applyBorder="1" applyAlignment="1">
      <alignment horizontal="center" vertical="center" wrapText="1"/>
    </xf>
    <xf numFmtId="0" fontId="4" fillId="10" borderId="30" xfId="0" applyFont="1" applyFill="1" applyBorder="1" applyAlignment="1">
      <alignment horizontal="center" wrapText="1"/>
    </xf>
    <xf numFmtId="0" fontId="4" fillId="10" borderId="31" xfId="0" applyFont="1" applyFill="1" applyBorder="1" applyAlignment="1">
      <alignment horizontal="center" wrapText="1"/>
    </xf>
    <xf numFmtId="0" fontId="4" fillId="10" borderId="32" xfId="0" applyFont="1" applyFill="1" applyBorder="1" applyAlignment="1">
      <alignment horizontal="center" wrapText="1"/>
    </xf>
    <xf numFmtId="0" fontId="19" fillId="10" borderId="13" xfId="0" applyFont="1" applyFill="1" applyBorder="1" applyAlignment="1">
      <alignment horizontal="center" vertical="center" wrapText="1"/>
    </xf>
    <xf numFmtId="0" fontId="19" fillId="10" borderId="12" xfId="0" applyFont="1" applyFill="1" applyBorder="1" applyAlignment="1">
      <alignment horizontal="center" vertical="center" wrapText="1"/>
    </xf>
    <xf numFmtId="0" fontId="19" fillId="10" borderId="15" xfId="0" applyFont="1" applyFill="1" applyBorder="1" applyAlignment="1">
      <alignment horizontal="center" vertical="center" wrapText="1"/>
    </xf>
    <xf numFmtId="0" fontId="19" fillId="10" borderId="14"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3" fillId="0" borderId="20" xfId="0" applyFont="1" applyBorder="1" applyAlignment="1">
      <alignment vertical="top" wrapText="1"/>
    </xf>
    <xf numFmtId="0" fontId="3" fillId="0" borderId="11" xfId="0" applyFont="1" applyBorder="1" applyAlignment="1">
      <alignment vertical="top" wrapText="1"/>
    </xf>
    <xf numFmtId="0" fontId="3" fillId="0" borderId="19" xfId="0" applyFont="1" applyBorder="1" applyAlignment="1">
      <alignment vertical="top" wrapText="1"/>
    </xf>
    <xf numFmtId="0" fontId="3" fillId="0" borderId="21" xfId="0" applyFont="1" applyBorder="1" applyAlignment="1">
      <alignment vertical="top" wrapText="1"/>
    </xf>
    <xf numFmtId="0" fontId="5"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9" fillId="0" borderId="3" xfId="0" applyFont="1" applyBorder="1" applyAlignment="1">
      <alignment vertical="top" wrapText="1"/>
    </xf>
    <xf numFmtId="0" fontId="19" fillId="10" borderId="33" xfId="0" applyFont="1" applyFill="1" applyBorder="1" applyAlignment="1">
      <alignment horizontal="center" vertical="center" wrapText="1"/>
    </xf>
    <xf numFmtId="0" fontId="19" fillId="10" borderId="31" xfId="0" applyFont="1" applyFill="1" applyBorder="1" applyAlignment="1">
      <alignment horizontal="center" vertical="center" wrapText="1"/>
    </xf>
    <xf numFmtId="0" fontId="19" fillId="10" borderId="34" xfId="0" applyFont="1" applyFill="1" applyBorder="1" applyAlignment="1">
      <alignment horizontal="center" vertical="center" wrapText="1"/>
    </xf>
    <xf numFmtId="0" fontId="19" fillId="10" borderId="35"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19" fillId="10" borderId="26" xfId="0" applyFont="1" applyFill="1" applyBorder="1" applyAlignment="1">
      <alignment horizontal="center" vertical="center" wrapText="1"/>
    </xf>
    <xf numFmtId="0" fontId="20" fillId="10" borderId="47" xfId="0" applyFont="1" applyFill="1" applyBorder="1" applyAlignment="1">
      <alignment horizontal="center" vertical="center" wrapText="1"/>
    </xf>
    <xf numFmtId="0" fontId="20" fillId="10" borderId="24" xfId="0" applyFont="1" applyFill="1" applyBorder="1" applyAlignment="1">
      <alignment horizontal="center" vertical="center" wrapText="1"/>
    </xf>
    <xf numFmtId="0" fontId="4" fillId="10" borderId="9" xfId="0" applyFont="1" applyFill="1" applyBorder="1" applyAlignment="1">
      <alignment horizontal="center" vertical="center" wrapText="1"/>
    </xf>
    <xf numFmtId="0" fontId="4" fillId="10" borderId="7" xfId="0" applyFont="1" applyFill="1" applyBorder="1" applyAlignment="1">
      <alignment horizontal="center" vertical="center" wrapText="1"/>
    </xf>
    <xf numFmtId="0" fontId="4" fillId="10" borderId="8"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11" fillId="0" borderId="1" xfId="0" applyFont="1" applyFill="1" applyBorder="1" applyAlignment="1">
      <alignment horizontal="center" vertical="center" wrapText="1"/>
    </xf>
  </cellXfs>
  <cellStyles count="7">
    <cellStyle name="Comma 2" xfId="4" xr:uid="{9565DC59-2A75-4F40-A3F8-619326286750}"/>
    <cellStyle name="Currency" xfId="5" builtinId="4"/>
    <cellStyle name="Normal" xfId="0" builtinId="0"/>
    <cellStyle name="Normal 2" xfId="2" xr:uid="{BB93E92D-E9AF-42E0-9A66-A5D417CA0FC5}"/>
    <cellStyle name="Normal 3" xfId="3" xr:uid="{45B81379-64F8-4998-B351-BF372F779B97}"/>
    <cellStyle name="Normal 4" xfId="6" xr:uid="{D28DC93C-5105-4A9F-A073-C8F2665DEA60}"/>
    <cellStyle name="Percent" xfId="1" builtinId="5"/>
  </cellStyles>
  <dxfs count="0"/>
  <tableStyles count="0" defaultTableStyle="TableStyleMedium2" defaultPivotStyle="PivotStyleLight16"/>
  <colors>
    <mruColors>
      <color rgb="FFD09E00"/>
      <color rgb="FFFFA7A7"/>
      <color rgb="FF430505"/>
      <color rgb="FFB62836"/>
      <color rgb="FFFC8CBF"/>
      <color rgb="FFBC0000"/>
      <color rgb="FFFF8989"/>
      <color rgb="FFA20000"/>
      <color rgb="FFE8A2A2"/>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Heba" id="{D1D81C25-2E58-40BA-A710-4D837322542C}"/>
</namedSheetViews>
</file>

<file path=xl/persons/person.xml><?xml version="1.0" encoding="utf-8"?>
<personList xmlns="http://schemas.microsoft.com/office/spreadsheetml/2018/threadedcomments" xmlns:x="http://schemas.openxmlformats.org/spreadsheetml/2006/main">
  <person displayName="Devin Martens-Olzman" id="{6048728C-3251-47E1-842E-FB8E30657701}" userId="S::ZN108@drc.ngo::0ab82e8d-fce1-499e-af68-0aae8ee5e3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Y74" dT="2026-05-19T19:46:26.08" personId="{6048728C-3251-47E1-842E-FB8E30657701}" id="{16FD32FD-154B-4A92-8166-167FDEB97369}">
    <text>Due to a clerical error, this target was reported in 2026 as 3, but this is a mistake, target should be 2. Nothing reported in change log, budget, or narrative. Total target = 2.</text>
  </threadedComment>
  <threadedComment ref="AI74" dT="2026-05-19T19:46:26.08" personId="{6048728C-3251-47E1-842E-FB8E30657701}" id="{B98A3B10-7370-4445-BE41-59EE87DBDEBF}">
    <text>Due to a clerical error, this target was reported in 2026 as 3, but this is a mistake, target should be 2. Nothing reported in change log, budget, or narrative. Total target = 2.</text>
  </threadedComment>
  <threadedComment ref="T82" dT="2026-05-14T10:49:14.28" personId="{6048728C-3251-47E1-842E-FB8E30657701}" id="{5A6B8FEC-D66D-4658-9B64-AC8837175D1C}">
    <text>Prior to donor submission, the total students in the school was unknown, but since 10 May, this number has been updated to reflect 350 students per school.</text>
  </threadedComment>
  <threadedComment ref="AD82" dT="2026-05-14T10:49:14.28" personId="{6048728C-3251-47E1-842E-FB8E30657701}" id="{70F7F616-B66B-474B-9D0E-BAAC80A3646A}">
    <text>Prior to donor submission, the total students in the school was unknown, but since 10 May, this number has been updated to reflect 350 students per school.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FD833-DA25-49DC-8173-D7C8564C9878}">
  <sheetPr codeName="Sheet2"/>
  <dimension ref="A1:BF152"/>
  <sheetViews>
    <sheetView tabSelected="1" topLeftCell="A3" zoomScale="115" zoomScaleNormal="115" workbookViewId="0">
      <pane xSplit="7" ySplit="6" topLeftCell="H9" activePane="bottomRight" state="frozen"/>
      <selection activeCell="A3" sqref="A3"/>
      <selection pane="topRight" activeCell="H3" sqref="H3"/>
      <selection pane="bottomLeft" activeCell="A9" sqref="A9"/>
      <selection pane="bottomRight" activeCell="AC10" sqref="AC10"/>
    </sheetView>
  </sheetViews>
  <sheetFormatPr defaultColWidth="9.109375" defaultRowHeight="43.5" customHeight="1"/>
  <cols>
    <col min="1" max="1" width="13.33203125" style="128" customWidth="1"/>
    <col min="2" max="2" width="36" customWidth="1"/>
    <col min="3" max="3" width="13.5546875" customWidth="1"/>
    <col min="4" max="4" width="5.109375" style="149" customWidth="1"/>
    <col min="5" max="5" width="3.88671875" style="149" customWidth="1"/>
    <col min="6" max="7" width="3.6640625" style="149" customWidth="1"/>
    <col min="8" max="8" width="5.44140625" hidden="1" customWidth="1"/>
    <col min="9" max="9" width="5.109375" hidden="1" customWidth="1"/>
    <col min="10" max="10" width="5.6640625" hidden="1" customWidth="1"/>
    <col min="11" max="12" width="5.109375" hidden="1" customWidth="1"/>
    <col min="13" max="13" width="6.44140625" hidden="1" customWidth="1"/>
    <col min="14" max="14" width="5.109375" hidden="1" customWidth="1"/>
    <col min="15" max="15" width="5.88671875" hidden="1" customWidth="1"/>
    <col min="16" max="16" width="5" hidden="1" customWidth="1"/>
    <col min="17" max="17" width="5.109375" hidden="1" customWidth="1"/>
    <col min="18" max="18" width="6.44140625" hidden="1" customWidth="1"/>
    <col min="19" max="19" width="5" hidden="1" customWidth="1"/>
    <col min="20" max="20" width="6.33203125" hidden="1" customWidth="1"/>
    <col min="21" max="21" width="5.6640625" hidden="1" customWidth="1"/>
    <col min="22" max="22" width="6.5546875" hidden="1" customWidth="1"/>
    <col min="23" max="23" width="6.44140625" hidden="1" customWidth="1"/>
    <col min="24" max="24" width="5" hidden="1" customWidth="1"/>
    <col min="25" max="25" width="5.5546875" hidden="1" customWidth="1"/>
    <col min="26" max="26" width="7.109375" hidden="1" customWidth="1"/>
    <col min="27" max="27" width="5" hidden="1" customWidth="1"/>
    <col min="28" max="37" width="5" customWidth="1"/>
    <col min="38" max="38" width="7.33203125" customWidth="1"/>
    <col min="39" max="39" width="10.88671875" customWidth="1"/>
    <col min="40" max="40" width="10.6640625" customWidth="1"/>
    <col min="41" max="41" width="100.44140625" customWidth="1"/>
    <col min="43" max="44" width="9.109375" style="4"/>
  </cols>
  <sheetData>
    <row r="1" spans="1:58" ht="6.6" hidden="1" customHeight="1">
      <c r="A1" s="122"/>
      <c r="B1" s="28"/>
      <c r="C1" s="76"/>
      <c r="D1" s="134"/>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13"/>
      <c r="AP1" s="114"/>
      <c r="AQ1" s="114"/>
      <c r="AR1" s="114"/>
      <c r="AS1" s="116"/>
      <c r="AT1" s="116"/>
      <c r="AU1" s="116"/>
      <c r="AV1" s="116"/>
      <c r="AW1" s="116"/>
      <c r="AX1" s="116"/>
      <c r="AY1" s="116"/>
      <c r="AZ1" s="116"/>
      <c r="BA1" s="116"/>
      <c r="BB1" s="116"/>
      <c r="BC1" s="116"/>
      <c r="BD1" s="116"/>
      <c r="BE1" s="116"/>
      <c r="BF1" s="116"/>
    </row>
    <row r="2" spans="1:58" ht="21.6" hidden="1" customHeight="1">
      <c r="A2" s="28"/>
      <c r="B2" s="28"/>
      <c r="C2" s="76"/>
      <c r="D2" s="134"/>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113"/>
      <c r="AP2" s="114"/>
      <c r="AQ2" s="114"/>
      <c r="AR2" s="114"/>
      <c r="AS2" s="116"/>
      <c r="AT2" s="116"/>
      <c r="AU2" s="116"/>
      <c r="AV2" s="116"/>
      <c r="AW2" s="116"/>
      <c r="AX2" s="116"/>
      <c r="AY2" s="116"/>
      <c r="AZ2" s="116"/>
      <c r="BA2" s="116"/>
      <c r="BB2" s="116"/>
      <c r="BC2" s="116"/>
      <c r="BD2" s="116"/>
      <c r="BE2" s="116"/>
      <c r="BF2" s="116"/>
    </row>
    <row r="3" spans="1:58" ht="19.2" customHeight="1">
      <c r="A3" s="197" t="s">
        <v>2</v>
      </c>
      <c r="B3" s="198">
        <v>45762</v>
      </c>
      <c r="C3" s="221" t="s">
        <v>470</v>
      </c>
      <c r="D3" s="220" t="s">
        <v>471</v>
      </c>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113"/>
      <c r="AP3" s="114"/>
      <c r="AQ3" s="114"/>
      <c r="AR3" s="114"/>
      <c r="AS3" s="116"/>
      <c r="AT3" s="116"/>
      <c r="AU3" s="116"/>
      <c r="AV3" s="116"/>
      <c r="AW3" s="116"/>
      <c r="AX3" s="116"/>
      <c r="AY3" s="116"/>
      <c r="AZ3" s="116"/>
      <c r="BA3" s="116"/>
      <c r="BB3" s="116"/>
      <c r="BC3" s="116"/>
      <c r="BD3" s="116"/>
      <c r="BE3" s="116"/>
      <c r="BF3" s="116"/>
    </row>
    <row r="4" spans="1:58" ht="15" customHeight="1">
      <c r="A4" s="199" t="s">
        <v>3</v>
      </c>
      <c r="B4" s="198" t="s">
        <v>4</v>
      </c>
      <c r="C4" s="76"/>
      <c r="D4" s="134"/>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113"/>
      <c r="AP4" s="114"/>
      <c r="AQ4" s="114"/>
      <c r="AR4" s="114"/>
      <c r="AS4" s="116"/>
      <c r="AT4" s="116"/>
      <c r="AU4" s="116"/>
      <c r="AV4" s="116"/>
      <c r="AW4" s="116"/>
      <c r="AX4" s="116"/>
      <c r="AY4" s="116"/>
      <c r="AZ4" s="116"/>
      <c r="BA4" s="116"/>
      <c r="BB4" s="116"/>
      <c r="BC4" s="116"/>
      <c r="BD4" s="116"/>
      <c r="BE4" s="116"/>
      <c r="BF4" s="116"/>
    </row>
    <row r="5" spans="1:58" ht="20.25" customHeight="1" thickBot="1">
      <c r="A5" s="200" t="s">
        <v>5</v>
      </c>
      <c r="B5" s="201" t="s">
        <v>6</v>
      </c>
      <c r="C5" s="76"/>
      <c r="D5" s="134"/>
      <c r="E5" s="134"/>
      <c r="F5" s="207"/>
      <c r="G5" s="134"/>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113"/>
      <c r="AP5" s="114"/>
      <c r="AQ5" s="114"/>
      <c r="AR5" s="114"/>
      <c r="AS5" s="116"/>
      <c r="AT5" s="116"/>
      <c r="AU5" s="116"/>
      <c r="AV5" s="116"/>
      <c r="AW5" s="116"/>
      <c r="AX5" s="116"/>
      <c r="AY5" s="116"/>
      <c r="AZ5" s="116"/>
      <c r="BA5" s="116"/>
      <c r="BB5" s="116"/>
      <c r="BC5" s="116"/>
      <c r="BD5" s="116"/>
      <c r="BE5" s="116"/>
      <c r="BF5" s="116"/>
    </row>
    <row r="6" spans="1:58" ht="24.6" customHeight="1">
      <c r="A6" s="236" t="s">
        <v>7</v>
      </c>
      <c r="B6" s="155"/>
      <c r="C6" s="154"/>
      <c r="D6" s="238" t="s">
        <v>8</v>
      </c>
      <c r="E6" s="239"/>
      <c r="F6" s="239"/>
      <c r="G6" s="240"/>
      <c r="H6" s="241" t="s">
        <v>9</v>
      </c>
      <c r="I6" s="242"/>
      <c r="J6" s="242"/>
      <c r="K6" s="242"/>
      <c r="L6" s="242"/>
      <c r="M6" s="242"/>
      <c r="N6" s="242"/>
      <c r="O6" s="242"/>
      <c r="P6" s="242"/>
      <c r="Q6" s="243"/>
      <c r="R6" s="244" t="s">
        <v>10</v>
      </c>
      <c r="S6" s="244"/>
      <c r="T6" s="244"/>
      <c r="U6" s="244"/>
      <c r="V6" s="244"/>
      <c r="W6" s="244"/>
      <c r="X6" s="244"/>
      <c r="Y6" s="244"/>
      <c r="Z6" s="244"/>
      <c r="AA6" s="241"/>
      <c r="AB6" s="244" t="s">
        <v>469</v>
      </c>
      <c r="AC6" s="244"/>
      <c r="AD6" s="244"/>
      <c r="AE6" s="244"/>
      <c r="AF6" s="244"/>
      <c r="AG6" s="244"/>
      <c r="AH6" s="244"/>
      <c r="AI6" s="244"/>
      <c r="AJ6" s="244"/>
      <c r="AK6" s="241"/>
      <c r="AL6" s="254" t="s">
        <v>11</v>
      </c>
      <c r="AM6" s="255"/>
      <c r="AN6" s="256"/>
      <c r="AO6" s="260" t="s">
        <v>12</v>
      </c>
      <c r="AP6" s="114"/>
      <c r="AQ6" s="114"/>
      <c r="AR6" s="114"/>
      <c r="AS6" s="116"/>
      <c r="AT6" s="116"/>
      <c r="AU6" s="116"/>
      <c r="AV6" s="116"/>
      <c r="AW6" s="116"/>
      <c r="AX6" s="116"/>
      <c r="AY6" s="116"/>
      <c r="AZ6" s="116"/>
      <c r="BA6" s="116"/>
      <c r="BB6" s="116"/>
      <c r="BC6" s="116"/>
      <c r="BD6" s="116"/>
      <c r="BE6" s="116"/>
      <c r="BF6" s="116"/>
    </row>
    <row r="7" spans="1:58" ht="16.2" customHeight="1">
      <c r="A7" s="237"/>
      <c r="B7" s="153" t="s">
        <v>13</v>
      </c>
      <c r="C7" s="2" t="s">
        <v>14</v>
      </c>
      <c r="D7" s="262" t="s">
        <v>15</v>
      </c>
      <c r="E7" s="263"/>
      <c r="F7" s="263"/>
      <c r="G7" s="264"/>
      <c r="H7" s="246" t="s">
        <v>16</v>
      </c>
      <c r="I7" s="265"/>
      <c r="J7" s="265"/>
      <c r="K7" s="265"/>
      <c r="L7" s="266"/>
      <c r="M7" s="246" t="s">
        <v>1</v>
      </c>
      <c r="N7" s="265"/>
      <c r="O7" s="265"/>
      <c r="P7" s="265"/>
      <c r="Q7" s="266"/>
      <c r="R7" s="245" t="s">
        <v>16</v>
      </c>
      <c r="S7" s="245"/>
      <c r="T7" s="245"/>
      <c r="U7" s="245"/>
      <c r="V7" s="245"/>
      <c r="W7" s="245" t="s">
        <v>1</v>
      </c>
      <c r="X7" s="245"/>
      <c r="Y7" s="245"/>
      <c r="Z7" s="245"/>
      <c r="AA7" s="246"/>
      <c r="AB7" s="245" t="s">
        <v>16</v>
      </c>
      <c r="AC7" s="245"/>
      <c r="AD7" s="245"/>
      <c r="AE7" s="245"/>
      <c r="AF7" s="245"/>
      <c r="AG7" s="245" t="s">
        <v>1</v>
      </c>
      <c r="AH7" s="245"/>
      <c r="AI7" s="245"/>
      <c r="AJ7" s="245"/>
      <c r="AK7" s="246"/>
      <c r="AL7" s="257"/>
      <c r="AM7" s="258"/>
      <c r="AN7" s="259"/>
      <c r="AO7" s="261"/>
      <c r="AP7" s="114"/>
      <c r="AQ7" s="114"/>
      <c r="AR7" s="114"/>
      <c r="AS7" s="116"/>
      <c r="AT7" s="116"/>
      <c r="AU7" s="116"/>
      <c r="AV7" s="116"/>
      <c r="AW7" s="116"/>
      <c r="AX7" s="116"/>
      <c r="AY7" s="116"/>
      <c r="AZ7" s="116"/>
      <c r="BA7" s="116"/>
      <c r="BB7" s="116"/>
      <c r="BC7" s="116"/>
      <c r="BD7" s="116"/>
      <c r="BE7" s="116"/>
      <c r="BF7" s="116"/>
    </row>
    <row r="8" spans="1:58" ht="21.6" customHeight="1" thickBot="1">
      <c r="A8" s="237"/>
      <c r="B8" s="1"/>
      <c r="C8" s="2"/>
      <c r="D8" s="5" t="s">
        <v>17</v>
      </c>
      <c r="E8" s="6" t="s">
        <v>18</v>
      </c>
      <c r="F8" s="7" t="s">
        <v>19</v>
      </c>
      <c r="G8" s="8" t="s">
        <v>20</v>
      </c>
      <c r="H8" s="9" t="s">
        <v>17</v>
      </c>
      <c r="I8" s="10" t="s">
        <v>18</v>
      </c>
      <c r="J8" s="7" t="s">
        <v>19</v>
      </c>
      <c r="K8" s="8" t="s">
        <v>20</v>
      </c>
      <c r="L8" s="11" t="s">
        <v>21</v>
      </c>
      <c r="M8" s="12" t="s">
        <v>17</v>
      </c>
      <c r="N8" s="10" t="s">
        <v>18</v>
      </c>
      <c r="O8" s="7" t="s">
        <v>19</v>
      </c>
      <c r="P8" s="13" t="s">
        <v>20</v>
      </c>
      <c r="Q8" s="11" t="s">
        <v>21</v>
      </c>
      <c r="R8" s="14" t="s">
        <v>17</v>
      </c>
      <c r="S8" s="10" t="s">
        <v>18</v>
      </c>
      <c r="T8" s="7" t="s">
        <v>19</v>
      </c>
      <c r="U8" s="8" t="s">
        <v>20</v>
      </c>
      <c r="V8" s="11" t="s">
        <v>21</v>
      </c>
      <c r="W8" s="12" t="s">
        <v>17</v>
      </c>
      <c r="X8" s="10" t="s">
        <v>18</v>
      </c>
      <c r="Y8" s="7" t="s">
        <v>19</v>
      </c>
      <c r="Z8" s="13" t="s">
        <v>20</v>
      </c>
      <c r="AA8" s="184" t="s">
        <v>21</v>
      </c>
      <c r="AB8" s="14" t="s">
        <v>17</v>
      </c>
      <c r="AC8" s="10" t="s">
        <v>18</v>
      </c>
      <c r="AD8" s="7" t="s">
        <v>19</v>
      </c>
      <c r="AE8" s="8" t="s">
        <v>20</v>
      </c>
      <c r="AF8" s="11" t="s">
        <v>21</v>
      </c>
      <c r="AG8" s="12" t="s">
        <v>17</v>
      </c>
      <c r="AH8" s="10" t="s">
        <v>18</v>
      </c>
      <c r="AI8" s="7" t="s">
        <v>19</v>
      </c>
      <c r="AJ8" s="13" t="s">
        <v>20</v>
      </c>
      <c r="AK8" s="184" t="s">
        <v>21</v>
      </c>
      <c r="AL8" s="156" t="s">
        <v>0</v>
      </c>
      <c r="AM8" s="3" t="s">
        <v>22</v>
      </c>
      <c r="AN8" s="157" t="s">
        <v>21</v>
      </c>
      <c r="AO8" s="261"/>
      <c r="AP8" s="115"/>
      <c r="AQ8" s="115"/>
      <c r="AR8" s="115"/>
      <c r="AS8" s="116"/>
      <c r="AT8" s="116"/>
      <c r="AU8" s="116"/>
      <c r="AV8" s="116"/>
      <c r="AW8" s="116"/>
      <c r="AX8" s="116"/>
      <c r="AY8" s="116"/>
      <c r="AZ8" s="116"/>
      <c r="BA8" s="116"/>
      <c r="BB8" s="116"/>
      <c r="BC8" s="116"/>
      <c r="BD8" s="116"/>
      <c r="BE8" s="116"/>
      <c r="BF8" s="116"/>
    </row>
    <row r="9" spans="1:58" ht="36.75" customHeight="1" thickBot="1">
      <c r="A9" s="247" t="s">
        <v>23</v>
      </c>
      <c r="B9" s="15" t="s">
        <v>24</v>
      </c>
      <c r="C9" s="18" t="s">
        <v>25</v>
      </c>
      <c r="D9" s="5" t="s">
        <v>17</v>
      </c>
      <c r="E9" s="135"/>
      <c r="F9" s="7" t="s">
        <v>19</v>
      </c>
      <c r="G9" s="8" t="s">
        <v>20</v>
      </c>
      <c r="H9" s="17"/>
      <c r="I9" s="18"/>
      <c r="J9" s="19"/>
      <c r="K9" s="19"/>
      <c r="L9" s="20">
        <f>SUM(H9:K9)</f>
        <v>0</v>
      </c>
      <c r="M9" s="17"/>
      <c r="N9" s="18"/>
      <c r="O9" s="19"/>
      <c r="P9" s="21"/>
      <c r="Q9" s="20">
        <f>SUM(M9:P9)</f>
        <v>0</v>
      </c>
      <c r="R9" s="22"/>
      <c r="S9" s="18"/>
      <c r="T9" s="19"/>
      <c r="U9" s="19"/>
      <c r="V9" s="20">
        <f>SUM(R9:U9)</f>
        <v>0</v>
      </c>
      <c r="W9" s="17"/>
      <c r="X9" s="18"/>
      <c r="Y9" s="19"/>
      <c r="Z9" s="21"/>
      <c r="AA9" s="185">
        <f>SUM(W9:Z9)</f>
        <v>0</v>
      </c>
      <c r="AB9" s="22"/>
      <c r="AC9" s="18"/>
      <c r="AD9" s="19"/>
      <c r="AE9" s="19"/>
      <c r="AF9" s="20">
        <f>SUM(AB9:AE9)</f>
        <v>0</v>
      </c>
      <c r="AG9" s="17"/>
      <c r="AH9" s="18"/>
      <c r="AI9" s="19"/>
      <c r="AJ9" s="21"/>
      <c r="AK9" s="185">
        <f>SUM(AG9:AJ9)</f>
        <v>0</v>
      </c>
      <c r="AL9" s="158">
        <f>AN9</f>
        <v>0.7</v>
      </c>
      <c r="AM9" s="23">
        <v>0.7</v>
      </c>
      <c r="AN9" s="159">
        <v>0.7</v>
      </c>
      <c r="AO9" s="193" t="s">
        <v>26</v>
      </c>
      <c r="AP9" s="115"/>
      <c r="AQ9" s="115"/>
      <c r="AR9" s="115"/>
      <c r="AS9" s="116"/>
      <c r="AT9" s="116"/>
      <c r="AU9" s="116"/>
      <c r="AV9" s="116"/>
      <c r="AW9" s="116"/>
      <c r="AX9" s="116"/>
      <c r="AY9" s="116"/>
      <c r="AZ9" s="116"/>
      <c r="BA9" s="116"/>
      <c r="BB9" s="116"/>
      <c r="BC9" s="116"/>
      <c r="BD9" s="116"/>
      <c r="BE9" s="116"/>
      <c r="BF9" s="116"/>
    </row>
    <row r="10" spans="1:58" ht="28.95" customHeight="1" thickBot="1">
      <c r="A10" s="248"/>
      <c r="B10" s="24" t="s">
        <v>27</v>
      </c>
      <c r="C10" s="18" t="s">
        <v>28</v>
      </c>
      <c r="D10" s="5" t="s">
        <v>17</v>
      </c>
      <c r="E10" s="135"/>
      <c r="F10" s="135"/>
      <c r="G10" s="8" t="s">
        <v>20</v>
      </c>
      <c r="H10" s="17"/>
      <c r="I10" s="18"/>
      <c r="J10" s="19"/>
      <c r="K10" s="19"/>
      <c r="L10" s="20">
        <f t="shared" ref="L10:L66" si="0">SUM(H10:K10)</f>
        <v>0</v>
      </c>
      <c r="M10" s="17"/>
      <c r="N10" s="18"/>
      <c r="O10" s="19"/>
      <c r="P10" s="21"/>
      <c r="Q10" s="20">
        <f t="shared" ref="Q10:Q66" si="1">SUM(M10:P10)</f>
        <v>0</v>
      </c>
      <c r="R10" s="22"/>
      <c r="S10" s="18"/>
      <c r="T10" s="19"/>
      <c r="U10" s="19"/>
      <c r="V10" s="20">
        <f t="shared" ref="V10:V66" si="2">SUM(R10:U10)</f>
        <v>0</v>
      </c>
      <c r="W10" s="17"/>
      <c r="X10" s="18"/>
      <c r="Y10" s="19"/>
      <c r="Z10" s="21"/>
      <c r="AA10" s="185">
        <f t="shared" ref="AA10:AA66" si="3">SUM(W10:Z10)</f>
        <v>0</v>
      </c>
      <c r="AB10" s="22"/>
      <c r="AC10" s="18"/>
      <c r="AD10" s="19"/>
      <c r="AE10" s="19"/>
      <c r="AF10" s="20">
        <f t="shared" ref="AF10:AF12" si="4">SUM(AB10:AE10)</f>
        <v>0</v>
      </c>
      <c r="AG10" s="17"/>
      <c r="AH10" s="18"/>
      <c r="AI10" s="19"/>
      <c r="AJ10" s="21"/>
      <c r="AK10" s="185">
        <f t="shared" ref="AK10:AK12" si="5">SUM(AG10:AJ10)</f>
        <v>0</v>
      </c>
      <c r="AL10" s="158">
        <v>0.8</v>
      </c>
      <c r="AM10" s="23">
        <v>0.8</v>
      </c>
      <c r="AN10" s="159">
        <v>0.8</v>
      </c>
      <c r="AO10" s="193" t="s">
        <v>29</v>
      </c>
      <c r="AP10" s="115"/>
      <c r="AQ10" s="115"/>
      <c r="AR10" s="115"/>
      <c r="AS10" s="116"/>
      <c r="AT10" s="116"/>
      <c r="AU10" s="116"/>
      <c r="AV10" s="116"/>
      <c r="AW10" s="116"/>
      <c r="AX10" s="116"/>
      <c r="AY10" s="116"/>
      <c r="AZ10" s="116"/>
      <c r="BA10" s="116"/>
      <c r="BB10" s="116"/>
      <c r="BC10" s="116"/>
      <c r="BD10" s="116"/>
      <c r="BE10" s="116"/>
      <c r="BF10" s="116"/>
    </row>
    <row r="11" spans="1:58" ht="44.25" customHeight="1">
      <c r="A11" s="249"/>
      <c r="B11" s="24" t="s">
        <v>30</v>
      </c>
      <c r="C11" s="18" t="s">
        <v>31</v>
      </c>
      <c r="D11" s="5" t="s">
        <v>17</v>
      </c>
      <c r="E11" s="135"/>
      <c r="F11" s="7" t="s">
        <v>19</v>
      </c>
      <c r="G11" s="8" t="s">
        <v>20</v>
      </c>
      <c r="H11" s="17"/>
      <c r="I11" s="18"/>
      <c r="J11" s="19"/>
      <c r="K11" s="19"/>
      <c r="L11" s="20">
        <f t="shared" si="0"/>
        <v>0</v>
      </c>
      <c r="M11" s="17"/>
      <c r="N11" s="18"/>
      <c r="O11" s="19"/>
      <c r="P11" s="21"/>
      <c r="Q11" s="20">
        <f t="shared" si="1"/>
        <v>0</v>
      </c>
      <c r="R11" s="22"/>
      <c r="S11" s="18"/>
      <c r="T11" s="19"/>
      <c r="U11" s="19"/>
      <c r="V11" s="20">
        <f t="shared" si="2"/>
        <v>0</v>
      </c>
      <c r="W11" s="17"/>
      <c r="X11" s="18"/>
      <c r="Y11" s="19"/>
      <c r="Z11" s="21"/>
      <c r="AA11" s="185">
        <f t="shared" si="3"/>
        <v>0</v>
      </c>
      <c r="AB11" s="22"/>
      <c r="AC11" s="18"/>
      <c r="AD11" s="19"/>
      <c r="AE11" s="19"/>
      <c r="AF11" s="20">
        <f t="shared" si="4"/>
        <v>0</v>
      </c>
      <c r="AG11" s="17"/>
      <c r="AH11" s="18"/>
      <c r="AI11" s="19"/>
      <c r="AJ11" s="21"/>
      <c r="AK11" s="185">
        <f t="shared" si="5"/>
        <v>0</v>
      </c>
      <c r="AL11" s="158">
        <v>0.7</v>
      </c>
      <c r="AM11" s="23">
        <v>0.7</v>
      </c>
      <c r="AN11" s="159">
        <v>0.7</v>
      </c>
      <c r="AO11" s="193" t="s">
        <v>32</v>
      </c>
      <c r="AP11" s="116"/>
      <c r="AQ11" s="116"/>
      <c r="AR11" s="116"/>
      <c r="AS11" s="116"/>
      <c r="AT11" s="116"/>
      <c r="AU11" s="116"/>
      <c r="AV11" s="116"/>
      <c r="AW11" s="116"/>
      <c r="AX11" s="116"/>
      <c r="AY11" s="116"/>
      <c r="AZ11" s="116"/>
      <c r="BA11" s="116"/>
      <c r="BB11" s="116"/>
      <c r="BC11" s="116"/>
      <c r="BD11" s="116"/>
      <c r="BE11" s="116"/>
      <c r="BF11" s="116"/>
    </row>
    <row r="12" spans="1:58" ht="28.95" customHeight="1">
      <c r="A12" s="250"/>
      <c r="B12" s="16" t="s">
        <v>33</v>
      </c>
      <c r="C12" s="19" t="s">
        <v>34</v>
      </c>
      <c r="D12" s="5" t="s">
        <v>17</v>
      </c>
      <c r="E12" s="136"/>
      <c r="F12" s="7" t="s">
        <v>19</v>
      </c>
      <c r="G12" s="8" t="s">
        <v>20</v>
      </c>
      <c r="H12" s="17"/>
      <c r="I12" s="19"/>
      <c r="J12" s="19"/>
      <c r="K12" s="19"/>
      <c r="L12" s="26">
        <f t="shared" si="0"/>
        <v>0</v>
      </c>
      <c r="M12" s="17"/>
      <c r="N12" s="19"/>
      <c r="O12" s="19"/>
      <c r="P12" s="21"/>
      <c r="Q12" s="26">
        <f t="shared" si="1"/>
        <v>0</v>
      </c>
      <c r="R12" s="22"/>
      <c r="S12" s="19"/>
      <c r="T12" s="19"/>
      <c r="U12" s="19"/>
      <c r="V12" s="26">
        <f t="shared" si="2"/>
        <v>0</v>
      </c>
      <c r="W12" s="17"/>
      <c r="X12" s="19"/>
      <c r="Y12" s="19"/>
      <c r="Z12" s="21"/>
      <c r="AA12" s="186">
        <f t="shared" si="3"/>
        <v>0</v>
      </c>
      <c r="AB12" s="22"/>
      <c r="AC12" s="19"/>
      <c r="AD12" s="19"/>
      <c r="AE12" s="19"/>
      <c r="AF12" s="26">
        <f t="shared" si="4"/>
        <v>0</v>
      </c>
      <c r="AG12" s="17"/>
      <c r="AH12" s="19"/>
      <c r="AI12" s="19"/>
      <c r="AJ12" s="21"/>
      <c r="AK12" s="186">
        <f t="shared" si="5"/>
        <v>0</v>
      </c>
      <c r="AL12" s="160">
        <v>0.7</v>
      </c>
      <c r="AM12" s="93">
        <v>0.7</v>
      </c>
      <c r="AN12" s="161">
        <v>0.7</v>
      </c>
      <c r="AO12" s="194" t="s">
        <v>35</v>
      </c>
      <c r="AP12" s="116"/>
      <c r="AQ12" s="116"/>
      <c r="AR12" s="116"/>
      <c r="AS12" s="116"/>
      <c r="AT12" s="116"/>
      <c r="AU12" s="116"/>
      <c r="AV12" s="116"/>
      <c r="AW12" s="116"/>
      <c r="AX12" s="116"/>
      <c r="AY12" s="116"/>
      <c r="AZ12" s="116"/>
      <c r="BA12" s="116"/>
      <c r="BB12" s="116"/>
      <c r="BC12" s="116"/>
      <c r="BD12" s="116"/>
      <c r="BE12" s="116"/>
      <c r="BF12" s="116"/>
    </row>
    <row r="13" spans="1:58" ht="15.6" customHeight="1">
      <c r="A13" s="251" t="s">
        <v>36</v>
      </c>
      <c r="B13" s="252"/>
      <c r="C13" s="97"/>
      <c r="D13" s="5" t="s">
        <v>17</v>
      </c>
      <c r="E13" s="6" t="s">
        <v>18</v>
      </c>
      <c r="F13" s="7" t="s">
        <v>19</v>
      </c>
      <c r="G13" s="8" t="s">
        <v>20</v>
      </c>
      <c r="H13" s="98"/>
      <c r="I13" s="98"/>
      <c r="J13" s="98"/>
      <c r="K13" s="98"/>
      <c r="L13" s="96"/>
      <c r="M13" s="98"/>
      <c r="N13" s="98"/>
      <c r="O13" s="98"/>
      <c r="P13" s="98"/>
      <c r="Q13" s="96"/>
      <c r="R13" s="98"/>
      <c r="S13" s="98"/>
      <c r="T13" s="98"/>
      <c r="U13" s="98"/>
      <c r="V13" s="96"/>
      <c r="W13" s="96"/>
      <c r="X13" s="98"/>
      <c r="Y13" s="98"/>
      <c r="Z13" s="98"/>
      <c r="AA13" s="96"/>
      <c r="AB13" s="98"/>
      <c r="AC13" s="98"/>
      <c r="AD13" s="98"/>
      <c r="AE13" s="98"/>
      <c r="AF13" s="96"/>
      <c r="AG13" s="96"/>
      <c r="AH13" s="98"/>
      <c r="AI13" s="98"/>
      <c r="AJ13" s="98"/>
      <c r="AK13" s="96"/>
      <c r="AL13" s="162"/>
      <c r="AM13" s="96"/>
      <c r="AN13" s="163"/>
      <c r="AO13" s="25"/>
      <c r="AP13" s="116"/>
      <c r="AQ13" s="116"/>
      <c r="AR13" s="116"/>
      <c r="AS13" s="116"/>
      <c r="AT13" s="116"/>
      <c r="AU13" s="116"/>
      <c r="AV13" s="116"/>
      <c r="AW13" s="116"/>
      <c r="AX13" s="116"/>
      <c r="AY13" s="116"/>
      <c r="AZ13" s="116"/>
      <c r="BA13" s="116"/>
      <c r="BB13" s="116"/>
      <c r="BC13" s="116"/>
      <c r="BD13" s="116"/>
      <c r="BE13" s="116"/>
      <c r="BF13" s="116"/>
    </row>
    <row r="14" spans="1:58" ht="85.2" customHeight="1">
      <c r="A14" s="253" t="s">
        <v>37</v>
      </c>
      <c r="B14" s="86" t="s">
        <v>38</v>
      </c>
      <c r="C14" s="41" t="s">
        <v>39</v>
      </c>
      <c r="D14" s="137" t="s">
        <v>17</v>
      </c>
      <c r="E14" s="138"/>
      <c r="F14" s="139" t="s">
        <v>19</v>
      </c>
      <c r="G14" s="140" t="s">
        <v>20</v>
      </c>
      <c r="H14" s="94"/>
      <c r="I14" s="94"/>
      <c r="J14" s="94"/>
      <c r="K14" s="94"/>
      <c r="L14" s="88">
        <f t="shared" si="0"/>
        <v>0</v>
      </c>
      <c r="M14" s="94"/>
      <c r="N14" s="94"/>
      <c r="O14" s="94"/>
      <c r="P14" s="94"/>
      <c r="Q14" s="88">
        <f t="shared" si="1"/>
        <v>0</v>
      </c>
      <c r="R14" s="94"/>
      <c r="S14" s="94"/>
      <c r="T14" s="94"/>
      <c r="U14" s="94"/>
      <c r="V14" s="88">
        <f t="shared" si="2"/>
        <v>0</v>
      </c>
      <c r="W14" s="94"/>
      <c r="X14" s="94"/>
      <c r="Y14" s="94"/>
      <c r="Z14" s="94"/>
      <c r="AA14" s="187">
        <f t="shared" si="3"/>
        <v>0</v>
      </c>
      <c r="AB14" s="94"/>
      <c r="AC14" s="94"/>
      <c r="AD14" s="94"/>
      <c r="AE14" s="94"/>
      <c r="AF14" s="88">
        <f t="shared" ref="AF14:AF26" si="6">SUM(AB14:AE14)</f>
        <v>0</v>
      </c>
      <c r="AG14" s="94"/>
      <c r="AH14" s="94"/>
      <c r="AI14" s="94"/>
      <c r="AJ14" s="94"/>
      <c r="AK14" s="187">
        <f t="shared" ref="AK14:AK23" si="7">SUM(AG14:AJ14)</f>
        <v>0</v>
      </c>
      <c r="AL14" s="164">
        <v>0.7</v>
      </c>
      <c r="AM14" s="90">
        <v>0.7</v>
      </c>
      <c r="AN14" s="165">
        <v>0.7</v>
      </c>
      <c r="AO14" s="95" t="s">
        <v>40</v>
      </c>
      <c r="AP14" s="116"/>
      <c r="AQ14" s="116"/>
      <c r="AR14" s="116"/>
      <c r="AS14" s="116"/>
      <c r="AT14" s="116"/>
      <c r="AU14" s="116"/>
      <c r="AV14" s="116"/>
      <c r="AW14" s="116"/>
      <c r="AX14" s="116"/>
      <c r="AY14" s="116"/>
      <c r="AZ14" s="116"/>
      <c r="BA14" s="116"/>
      <c r="BB14" s="116"/>
      <c r="BC14" s="116"/>
      <c r="BD14" s="116"/>
      <c r="BE14" s="116"/>
      <c r="BF14" s="116"/>
    </row>
    <row r="15" spans="1:58" ht="51.75" customHeight="1">
      <c r="A15" s="222"/>
      <c r="B15" s="29" t="s">
        <v>41</v>
      </c>
      <c r="C15" s="38" t="s">
        <v>42</v>
      </c>
      <c r="D15" s="9" t="s">
        <v>17</v>
      </c>
      <c r="E15" s="135"/>
      <c r="F15" s="141" t="s">
        <v>19</v>
      </c>
      <c r="G15" s="142" t="s">
        <v>20</v>
      </c>
      <c r="H15" s="31"/>
      <c r="I15" s="31"/>
      <c r="J15" s="31"/>
      <c r="K15" s="31"/>
      <c r="L15" s="32">
        <f t="shared" si="0"/>
        <v>0</v>
      </c>
      <c r="M15" s="31"/>
      <c r="N15" s="31"/>
      <c r="O15" s="31"/>
      <c r="P15" s="31"/>
      <c r="Q15" s="32">
        <f t="shared" si="1"/>
        <v>0</v>
      </c>
      <c r="R15" s="31"/>
      <c r="S15" s="31"/>
      <c r="T15" s="31"/>
      <c r="U15" s="31"/>
      <c r="V15" s="32">
        <f t="shared" si="2"/>
        <v>0</v>
      </c>
      <c r="W15" s="31"/>
      <c r="X15" s="31"/>
      <c r="Y15" s="31"/>
      <c r="Z15" s="31"/>
      <c r="AA15" s="188">
        <f t="shared" si="3"/>
        <v>0</v>
      </c>
      <c r="AB15" s="31"/>
      <c r="AC15" s="31"/>
      <c r="AD15" s="31"/>
      <c r="AE15" s="31"/>
      <c r="AF15" s="32">
        <f t="shared" si="6"/>
        <v>0</v>
      </c>
      <c r="AG15" s="31"/>
      <c r="AH15" s="31"/>
      <c r="AI15" s="31"/>
      <c r="AJ15" s="31"/>
      <c r="AK15" s="188">
        <f t="shared" si="7"/>
        <v>0</v>
      </c>
      <c r="AL15" s="166">
        <v>0.8</v>
      </c>
      <c r="AM15" s="34">
        <v>0.8</v>
      </c>
      <c r="AN15" s="167">
        <v>0.8</v>
      </c>
      <c r="AO15" s="61" t="s">
        <v>43</v>
      </c>
      <c r="AP15" s="116"/>
      <c r="AQ15" s="116"/>
      <c r="AR15" s="116"/>
      <c r="AS15" s="116"/>
      <c r="AT15" s="116"/>
      <c r="AU15" s="116"/>
      <c r="AV15" s="116"/>
      <c r="AW15" s="116"/>
      <c r="AX15" s="116"/>
      <c r="AY15" s="116"/>
      <c r="AZ15" s="116"/>
      <c r="BA15" s="116"/>
      <c r="BB15" s="116"/>
      <c r="BC15" s="116"/>
      <c r="BD15" s="116"/>
      <c r="BE15" s="116"/>
      <c r="BF15" s="116"/>
    </row>
    <row r="16" spans="1:58" ht="36">
      <c r="A16" s="222"/>
      <c r="B16" s="29" t="s">
        <v>44</v>
      </c>
      <c r="C16" s="38" t="s">
        <v>45</v>
      </c>
      <c r="D16" s="9" t="s">
        <v>17</v>
      </c>
      <c r="E16" s="135"/>
      <c r="F16" s="141" t="s">
        <v>19</v>
      </c>
      <c r="G16" s="142" t="s">
        <v>20</v>
      </c>
      <c r="H16" s="31"/>
      <c r="I16" s="31"/>
      <c r="J16" s="31"/>
      <c r="K16" s="31"/>
      <c r="L16" s="32">
        <f t="shared" si="0"/>
        <v>0</v>
      </c>
      <c r="M16" s="31"/>
      <c r="N16" s="31"/>
      <c r="O16" s="31"/>
      <c r="P16" s="31"/>
      <c r="Q16" s="32">
        <f t="shared" si="1"/>
        <v>0</v>
      </c>
      <c r="R16" s="31"/>
      <c r="S16" s="31"/>
      <c r="T16" s="31"/>
      <c r="U16" s="31"/>
      <c r="V16" s="32">
        <f t="shared" si="2"/>
        <v>0</v>
      </c>
      <c r="W16" s="31"/>
      <c r="X16" s="31"/>
      <c r="Y16" s="31"/>
      <c r="Z16" s="31"/>
      <c r="AA16" s="188">
        <f t="shared" si="3"/>
        <v>0</v>
      </c>
      <c r="AB16" s="31"/>
      <c r="AC16" s="31"/>
      <c r="AD16" s="31"/>
      <c r="AE16" s="31"/>
      <c r="AF16" s="32">
        <f t="shared" si="6"/>
        <v>0</v>
      </c>
      <c r="AG16" s="31"/>
      <c r="AH16" s="31"/>
      <c r="AI16" s="31"/>
      <c r="AJ16" s="31"/>
      <c r="AK16" s="188">
        <f t="shared" si="7"/>
        <v>0</v>
      </c>
      <c r="AL16" s="166">
        <v>0.5</v>
      </c>
      <c r="AM16" s="34">
        <v>0.5</v>
      </c>
      <c r="AN16" s="167">
        <v>0.5</v>
      </c>
      <c r="AO16" s="61" t="s">
        <v>46</v>
      </c>
      <c r="AP16" s="116"/>
      <c r="AQ16" s="116"/>
      <c r="AR16" s="116"/>
      <c r="AS16" s="116"/>
      <c r="AT16" s="116"/>
      <c r="AU16" s="116"/>
      <c r="AV16" s="116"/>
      <c r="AW16" s="116"/>
      <c r="AX16" s="116"/>
      <c r="AY16" s="116"/>
      <c r="AZ16" s="116"/>
      <c r="BA16" s="116"/>
      <c r="BB16" s="116"/>
      <c r="BC16" s="116"/>
      <c r="BD16" s="116"/>
      <c r="BE16" s="116"/>
      <c r="BF16" s="116"/>
    </row>
    <row r="17" spans="1:58" ht="61.2" customHeight="1">
      <c r="A17" s="222" t="s">
        <v>47</v>
      </c>
      <c r="B17" s="29" t="s">
        <v>48</v>
      </c>
      <c r="C17" s="38" t="s">
        <v>49</v>
      </c>
      <c r="D17" s="9" t="s">
        <v>17</v>
      </c>
      <c r="E17" s="135"/>
      <c r="F17" s="141" t="s">
        <v>19</v>
      </c>
      <c r="G17" s="142" t="s">
        <v>20</v>
      </c>
      <c r="H17" s="31"/>
      <c r="I17" s="31"/>
      <c r="J17" s="31"/>
      <c r="K17" s="31"/>
      <c r="L17" s="32">
        <f t="shared" si="0"/>
        <v>0</v>
      </c>
      <c r="M17" s="31"/>
      <c r="N17" s="31"/>
      <c r="O17" s="31"/>
      <c r="P17" s="31"/>
      <c r="Q17" s="32">
        <f t="shared" si="1"/>
        <v>0</v>
      </c>
      <c r="R17" s="31"/>
      <c r="S17" s="31"/>
      <c r="T17" s="31"/>
      <c r="U17" s="31"/>
      <c r="V17" s="32">
        <f t="shared" si="2"/>
        <v>0</v>
      </c>
      <c r="W17" s="31"/>
      <c r="X17" s="31"/>
      <c r="Y17" s="31"/>
      <c r="Z17" s="31"/>
      <c r="AA17" s="188">
        <f t="shared" si="3"/>
        <v>0</v>
      </c>
      <c r="AB17" s="31"/>
      <c r="AC17" s="31"/>
      <c r="AD17" s="31"/>
      <c r="AE17" s="31"/>
      <c r="AF17" s="32">
        <f t="shared" si="6"/>
        <v>0</v>
      </c>
      <c r="AG17" s="31"/>
      <c r="AH17" s="31"/>
      <c r="AI17" s="31"/>
      <c r="AJ17" s="31"/>
      <c r="AK17" s="188">
        <f t="shared" si="7"/>
        <v>0</v>
      </c>
      <c r="AL17" s="166">
        <v>0.75</v>
      </c>
      <c r="AM17" s="34">
        <v>0.75</v>
      </c>
      <c r="AN17" s="167">
        <v>0.75</v>
      </c>
      <c r="AO17" s="61" t="s">
        <v>50</v>
      </c>
      <c r="AP17" s="116"/>
      <c r="AQ17" s="116"/>
      <c r="AR17" s="116"/>
      <c r="AS17" s="116"/>
      <c r="AT17" s="116"/>
      <c r="AU17" s="116"/>
      <c r="AV17" s="116"/>
      <c r="AW17" s="116"/>
      <c r="AX17" s="116"/>
      <c r="AY17" s="116"/>
      <c r="AZ17" s="116"/>
      <c r="BA17" s="116"/>
      <c r="BB17" s="116"/>
      <c r="BC17" s="116"/>
      <c r="BD17" s="116"/>
      <c r="BE17" s="116"/>
      <c r="BF17" s="116"/>
    </row>
    <row r="18" spans="1:58" ht="48.75" customHeight="1">
      <c r="A18" s="222"/>
      <c r="B18" s="35" t="s">
        <v>51</v>
      </c>
      <c r="C18" s="72" t="s">
        <v>52</v>
      </c>
      <c r="D18" s="9" t="s">
        <v>17</v>
      </c>
      <c r="E18" s="135"/>
      <c r="F18" s="141" t="s">
        <v>19</v>
      </c>
      <c r="G18" s="142" t="s">
        <v>20</v>
      </c>
      <c r="H18" s="31"/>
      <c r="I18" s="31"/>
      <c r="J18" s="31"/>
      <c r="K18" s="31"/>
      <c r="L18" s="32">
        <f t="shared" si="0"/>
        <v>0</v>
      </c>
      <c r="M18" s="31"/>
      <c r="N18" s="31"/>
      <c r="O18" s="31"/>
      <c r="P18" s="31"/>
      <c r="Q18" s="32">
        <f t="shared" si="1"/>
        <v>0</v>
      </c>
      <c r="R18" s="31"/>
      <c r="S18" s="31"/>
      <c r="T18" s="31"/>
      <c r="U18" s="31"/>
      <c r="V18" s="32">
        <f t="shared" si="2"/>
        <v>0</v>
      </c>
      <c r="W18" s="31"/>
      <c r="X18" s="31"/>
      <c r="Y18" s="31"/>
      <c r="Z18" s="31"/>
      <c r="AA18" s="188">
        <f t="shared" si="3"/>
        <v>0</v>
      </c>
      <c r="AB18" s="31"/>
      <c r="AC18" s="31"/>
      <c r="AD18" s="31"/>
      <c r="AE18" s="31"/>
      <c r="AF18" s="32">
        <f t="shared" si="6"/>
        <v>0</v>
      </c>
      <c r="AG18" s="31"/>
      <c r="AH18" s="31"/>
      <c r="AI18" s="31"/>
      <c r="AJ18" s="31"/>
      <c r="AK18" s="188">
        <f t="shared" si="7"/>
        <v>0</v>
      </c>
      <c r="AL18" s="166">
        <v>0.75</v>
      </c>
      <c r="AM18" s="34">
        <v>0.75</v>
      </c>
      <c r="AN18" s="167">
        <v>0.75</v>
      </c>
      <c r="AO18" s="61" t="s">
        <v>53</v>
      </c>
      <c r="AP18" s="116"/>
      <c r="AQ18" s="116"/>
      <c r="AR18" s="116"/>
      <c r="AS18" s="116"/>
      <c r="AT18" s="116"/>
      <c r="AU18" s="116"/>
      <c r="AV18" s="116"/>
      <c r="AW18" s="116"/>
      <c r="AX18" s="116"/>
      <c r="AY18" s="116"/>
      <c r="AZ18" s="116"/>
      <c r="BA18" s="116"/>
      <c r="BB18" s="116"/>
      <c r="BC18" s="116"/>
      <c r="BD18" s="116"/>
      <c r="BE18" s="116"/>
      <c r="BF18" s="116"/>
    </row>
    <row r="19" spans="1:58" ht="50.4" customHeight="1">
      <c r="A19" s="222"/>
      <c r="B19" s="29" t="s">
        <v>54</v>
      </c>
      <c r="C19" s="38" t="s">
        <v>55</v>
      </c>
      <c r="D19" s="9" t="s">
        <v>17</v>
      </c>
      <c r="E19" s="135"/>
      <c r="F19" s="141" t="s">
        <v>19</v>
      </c>
      <c r="G19" s="142" t="s">
        <v>20</v>
      </c>
      <c r="H19" s="31"/>
      <c r="I19" s="31"/>
      <c r="J19" s="31"/>
      <c r="K19" s="31"/>
      <c r="L19" s="32">
        <f t="shared" si="0"/>
        <v>0</v>
      </c>
      <c r="M19" s="31"/>
      <c r="N19" s="31"/>
      <c r="O19" s="31"/>
      <c r="P19" s="31"/>
      <c r="Q19" s="32">
        <f t="shared" si="1"/>
        <v>0</v>
      </c>
      <c r="R19" s="31"/>
      <c r="S19" s="31"/>
      <c r="T19" s="31"/>
      <c r="U19" s="31"/>
      <c r="V19" s="32">
        <f t="shared" si="2"/>
        <v>0</v>
      </c>
      <c r="W19" s="31"/>
      <c r="X19" s="31"/>
      <c r="Y19" s="31"/>
      <c r="Z19" s="73"/>
      <c r="AA19" s="188">
        <f t="shared" si="3"/>
        <v>0</v>
      </c>
      <c r="AB19" s="31"/>
      <c r="AC19" s="31"/>
      <c r="AD19" s="31"/>
      <c r="AE19" s="31"/>
      <c r="AF19" s="32">
        <f t="shared" si="6"/>
        <v>0</v>
      </c>
      <c r="AG19" s="31"/>
      <c r="AH19" s="31"/>
      <c r="AI19" s="31"/>
      <c r="AJ19" s="73"/>
      <c r="AK19" s="188">
        <f t="shared" si="7"/>
        <v>0</v>
      </c>
      <c r="AL19" s="166">
        <v>0.7</v>
      </c>
      <c r="AM19" s="34">
        <v>0.7</v>
      </c>
      <c r="AN19" s="167">
        <v>0.7</v>
      </c>
      <c r="AO19" s="61" t="s">
        <v>56</v>
      </c>
      <c r="AP19" s="116"/>
      <c r="AQ19" s="116"/>
      <c r="AR19" s="116"/>
      <c r="AS19" s="116"/>
      <c r="AT19" s="116"/>
      <c r="AU19" s="116"/>
      <c r="AV19" s="116"/>
      <c r="AW19" s="116"/>
      <c r="AX19" s="116"/>
      <c r="AY19" s="116"/>
      <c r="AZ19" s="116"/>
      <c r="BA19" s="116"/>
      <c r="BB19" s="116"/>
      <c r="BC19" s="116"/>
      <c r="BD19" s="116"/>
      <c r="BE19" s="116"/>
      <c r="BF19" s="116"/>
    </row>
    <row r="20" spans="1:58" ht="51.6" customHeight="1">
      <c r="A20" s="222"/>
      <c r="B20" s="29" t="s">
        <v>57</v>
      </c>
      <c r="C20" s="38" t="s">
        <v>58</v>
      </c>
      <c r="D20" s="9" t="s">
        <v>17</v>
      </c>
      <c r="E20" s="135"/>
      <c r="F20" s="141" t="s">
        <v>19</v>
      </c>
      <c r="G20" s="142" t="s">
        <v>20</v>
      </c>
      <c r="H20" s="31"/>
      <c r="I20" s="31"/>
      <c r="J20" s="31"/>
      <c r="K20" s="31"/>
      <c r="L20" s="32">
        <f t="shared" si="0"/>
        <v>0</v>
      </c>
      <c r="M20" s="31"/>
      <c r="N20" s="31"/>
      <c r="O20" s="31"/>
      <c r="P20" s="31"/>
      <c r="Q20" s="32">
        <f t="shared" si="1"/>
        <v>0</v>
      </c>
      <c r="R20" s="31"/>
      <c r="S20" s="31"/>
      <c r="T20" s="31"/>
      <c r="U20" s="31"/>
      <c r="V20" s="32">
        <f t="shared" si="2"/>
        <v>0</v>
      </c>
      <c r="W20" s="31"/>
      <c r="X20" s="31"/>
      <c r="Y20" s="31"/>
      <c r="Z20" s="73"/>
      <c r="AA20" s="188">
        <f t="shared" si="3"/>
        <v>0</v>
      </c>
      <c r="AB20" s="31"/>
      <c r="AC20" s="31"/>
      <c r="AD20" s="31"/>
      <c r="AE20" s="31"/>
      <c r="AF20" s="32">
        <f t="shared" si="6"/>
        <v>0</v>
      </c>
      <c r="AG20" s="31"/>
      <c r="AH20" s="31"/>
      <c r="AI20" s="31"/>
      <c r="AJ20" s="73"/>
      <c r="AK20" s="188">
        <f t="shared" si="7"/>
        <v>0</v>
      </c>
      <c r="AL20" s="166">
        <v>0.8</v>
      </c>
      <c r="AM20" s="34">
        <v>0.8</v>
      </c>
      <c r="AN20" s="167">
        <v>0.8</v>
      </c>
      <c r="AO20" s="61" t="s">
        <v>59</v>
      </c>
      <c r="AP20" s="116"/>
      <c r="AQ20" s="116"/>
      <c r="AR20" s="116"/>
      <c r="AS20" s="116"/>
      <c r="AT20" s="116"/>
      <c r="AU20" s="116"/>
      <c r="AV20" s="116"/>
      <c r="AW20" s="116"/>
      <c r="AX20" s="116"/>
      <c r="AY20" s="116"/>
      <c r="AZ20" s="116"/>
      <c r="BA20" s="116"/>
      <c r="BB20" s="116"/>
      <c r="BC20" s="116"/>
      <c r="BD20" s="116"/>
      <c r="BE20" s="116"/>
      <c r="BF20" s="116"/>
    </row>
    <row r="21" spans="1:58" ht="43.2" customHeight="1">
      <c r="A21" s="222"/>
      <c r="B21" s="29" t="s">
        <v>60</v>
      </c>
      <c r="C21" s="38" t="s">
        <v>61</v>
      </c>
      <c r="D21" s="9" t="s">
        <v>17</v>
      </c>
      <c r="E21" s="135"/>
      <c r="F21" s="141" t="s">
        <v>19</v>
      </c>
      <c r="G21" s="142" t="s">
        <v>20</v>
      </c>
      <c r="H21" s="31"/>
      <c r="I21" s="31"/>
      <c r="J21" s="31"/>
      <c r="K21" s="31"/>
      <c r="L21" s="32">
        <f t="shared" si="0"/>
        <v>0</v>
      </c>
      <c r="M21" s="31"/>
      <c r="N21" s="73"/>
      <c r="O21" s="73"/>
      <c r="P21" s="73"/>
      <c r="Q21" s="32">
        <f t="shared" si="1"/>
        <v>0</v>
      </c>
      <c r="R21" s="31"/>
      <c r="S21" s="31"/>
      <c r="T21" s="36"/>
      <c r="U21" s="31"/>
      <c r="V21" s="32">
        <f t="shared" si="2"/>
        <v>0</v>
      </c>
      <c r="W21" s="31"/>
      <c r="X21" s="31"/>
      <c r="Y21" s="31"/>
      <c r="Z21" s="73"/>
      <c r="AA21" s="188">
        <f t="shared" si="3"/>
        <v>0</v>
      </c>
      <c r="AB21" s="31"/>
      <c r="AC21" s="31"/>
      <c r="AD21" s="36"/>
      <c r="AE21" s="31"/>
      <c r="AF21" s="32">
        <f t="shared" si="6"/>
        <v>0</v>
      </c>
      <c r="AG21" s="31"/>
      <c r="AH21" s="31"/>
      <c r="AI21" s="31"/>
      <c r="AJ21" s="73"/>
      <c r="AK21" s="188">
        <f t="shared" si="7"/>
        <v>0</v>
      </c>
      <c r="AL21" s="166">
        <v>0.5</v>
      </c>
      <c r="AM21" s="34">
        <v>0.5</v>
      </c>
      <c r="AN21" s="167">
        <v>0.5</v>
      </c>
      <c r="AO21" s="61" t="s">
        <v>62</v>
      </c>
      <c r="AP21" s="116"/>
      <c r="AQ21" s="116"/>
      <c r="AR21" s="116"/>
      <c r="AS21" s="116"/>
      <c r="AT21" s="116"/>
      <c r="AU21" s="116"/>
      <c r="AV21" s="116"/>
      <c r="AW21" s="116"/>
      <c r="AX21" s="116"/>
      <c r="AY21" s="116"/>
      <c r="AZ21" s="116"/>
      <c r="BA21" s="116"/>
      <c r="BB21" s="116"/>
      <c r="BC21" s="116"/>
      <c r="BD21" s="116"/>
      <c r="BE21" s="116"/>
      <c r="BF21" s="116"/>
    </row>
    <row r="22" spans="1:58" ht="57" customHeight="1">
      <c r="A22" s="222" t="s">
        <v>63</v>
      </c>
      <c r="B22" s="37" t="s">
        <v>64</v>
      </c>
      <c r="C22" s="38" t="s">
        <v>65</v>
      </c>
      <c r="D22" s="135"/>
      <c r="E22" s="135"/>
      <c r="F22" s="135"/>
      <c r="G22" s="142" t="s">
        <v>20</v>
      </c>
      <c r="H22" s="36"/>
      <c r="I22" s="36"/>
      <c r="J22" s="36"/>
      <c r="K22" s="36">
        <v>40</v>
      </c>
      <c r="L22" s="32">
        <f t="shared" si="0"/>
        <v>40</v>
      </c>
      <c r="M22" s="36"/>
      <c r="N22" s="36"/>
      <c r="O22" s="36">
        <v>0</v>
      </c>
      <c r="P22" s="36"/>
      <c r="Q22" s="32">
        <f>SUM(M22:P22)</f>
        <v>0</v>
      </c>
      <c r="R22" s="36"/>
      <c r="S22" s="36"/>
      <c r="T22" s="36"/>
      <c r="U22" s="36">
        <v>0</v>
      </c>
      <c r="V22" s="32">
        <f t="shared" si="2"/>
        <v>0</v>
      </c>
      <c r="W22" s="36"/>
      <c r="X22" s="36"/>
      <c r="Y22" s="36"/>
      <c r="Z22" s="36"/>
      <c r="AA22" s="188">
        <f t="shared" si="3"/>
        <v>0</v>
      </c>
      <c r="AB22" s="36"/>
      <c r="AC22" s="36"/>
      <c r="AD22" s="36"/>
      <c r="AE22" s="36">
        <v>40</v>
      </c>
      <c r="AF22" s="32">
        <f t="shared" si="6"/>
        <v>40</v>
      </c>
      <c r="AG22" s="36"/>
      <c r="AH22" s="36"/>
      <c r="AI22" s="36"/>
      <c r="AJ22" s="36"/>
      <c r="AK22" s="188">
        <f t="shared" si="7"/>
        <v>0</v>
      </c>
      <c r="AL22" s="168">
        <f t="shared" ref="AL22:AL33" si="8">V22+L22</f>
        <v>40</v>
      </c>
      <c r="AM22" s="33">
        <f t="shared" ref="AM22:AM33" si="9">AA22+Q22</f>
        <v>0</v>
      </c>
      <c r="AN22" s="169">
        <f t="shared" ref="AN22:AN33" si="10">SUM(L22,Q22,V22,AA22)</f>
        <v>40</v>
      </c>
      <c r="AO22" s="62" t="s">
        <v>66</v>
      </c>
      <c r="AP22" s="116"/>
      <c r="AQ22" s="116"/>
      <c r="AR22" s="116"/>
      <c r="AS22" s="116"/>
      <c r="AT22" s="116"/>
      <c r="AU22" s="116"/>
      <c r="AV22" s="116"/>
      <c r="AW22" s="116"/>
      <c r="AX22" s="116"/>
      <c r="AY22" s="116"/>
      <c r="AZ22" s="116"/>
      <c r="BA22" s="116"/>
      <c r="BB22" s="116"/>
      <c r="BC22" s="116"/>
      <c r="BD22" s="116"/>
      <c r="BE22" s="116"/>
      <c r="BF22" s="116"/>
    </row>
    <row r="23" spans="1:58" ht="51" customHeight="1">
      <c r="A23" s="231"/>
      <c r="B23" s="37" t="s">
        <v>67</v>
      </c>
      <c r="C23" s="38" t="s">
        <v>68</v>
      </c>
      <c r="D23" s="135"/>
      <c r="E23" s="135"/>
      <c r="F23" s="143"/>
      <c r="G23" s="142" t="s">
        <v>20</v>
      </c>
      <c r="H23" s="36"/>
      <c r="I23" s="36"/>
      <c r="J23" s="36"/>
      <c r="K23" s="36"/>
      <c r="L23" s="32">
        <f t="shared" si="0"/>
        <v>0</v>
      </c>
      <c r="M23" s="36"/>
      <c r="N23" s="36"/>
      <c r="O23" s="36"/>
      <c r="P23" s="36"/>
      <c r="Q23" s="32">
        <f t="shared" si="1"/>
        <v>0</v>
      </c>
      <c r="R23" s="36"/>
      <c r="S23" s="36"/>
      <c r="T23" s="36"/>
      <c r="U23" s="36">
        <v>40</v>
      </c>
      <c r="V23" s="32">
        <f t="shared" si="2"/>
        <v>40</v>
      </c>
      <c r="W23" s="36"/>
      <c r="X23" s="36"/>
      <c r="Y23" s="36"/>
      <c r="Z23" s="36"/>
      <c r="AA23" s="188">
        <f t="shared" si="3"/>
        <v>0</v>
      </c>
      <c r="AB23" s="36"/>
      <c r="AC23" s="36"/>
      <c r="AD23" s="36"/>
      <c r="AE23" s="36">
        <v>40</v>
      </c>
      <c r="AF23" s="32">
        <f t="shared" si="6"/>
        <v>40</v>
      </c>
      <c r="AG23" s="36"/>
      <c r="AH23" s="36"/>
      <c r="AI23" s="36"/>
      <c r="AJ23" s="36"/>
      <c r="AK23" s="188">
        <f t="shared" si="7"/>
        <v>0</v>
      </c>
      <c r="AL23" s="168">
        <f t="shared" si="8"/>
        <v>40</v>
      </c>
      <c r="AM23" s="33">
        <f t="shared" si="9"/>
        <v>0</v>
      </c>
      <c r="AN23" s="169">
        <f t="shared" si="10"/>
        <v>40</v>
      </c>
      <c r="AO23" s="62" t="s">
        <v>69</v>
      </c>
      <c r="AP23" s="116"/>
      <c r="AQ23" s="116"/>
      <c r="AR23" s="116"/>
      <c r="AS23" s="116"/>
      <c r="AT23" s="116"/>
      <c r="AU23" s="116"/>
      <c r="AV23" s="116"/>
      <c r="AW23" s="116"/>
      <c r="AX23" s="116"/>
      <c r="AY23" s="116"/>
      <c r="AZ23" s="116"/>
      <c r="BA23" s="116"/>
      <c r="BB23" s="116"/>
      <c r="BC23" s="116"/>
      <c r="BD23" s="116"/>
      <c r="BE23" s="116"/>
      <c r="BF23" s="116"/>
    </row>
    <row r="24" spans="1:58" ht="138.6" customHeight="1">
      <c r="A24" s="29" t="s">
        <v>70</v>
      </c>
      <c r="B24" s="37" t="s">
        <v>71</v>
      </c>
      <c r="C24" s="38" t="s">
        <v>72</v>
      </c>
      <c r="D24" s="9" t="s">
        <v>17</v>
      </c>
      <c r="E24" s="135"/>
      <c r="F24" s="141" t="s">
        <v>19</v>
      </c>
      <c r="G24" s="142" t="s">
        <v>20</v>
      </c>
      <c r="H24" s="36"/>
      <c r="I24" s="36"/>
      <c r="J24" s="36"/>
      <c r="K24" s="36"/>
      <c r="L24" s="32">
        <f t="shared" si="0"/>
        <v>0</v>
      </c>
      <c r="M24" s="36"/>
      <c r="N24" s="36"/>
      <c r="O24" s="36"/>
      <c r="P24" s="36"/>
      <c r="Q24" s="32">
        <f>SUM(M24:P24)</f>
        <v>0</v>
      </c>
      <c r="R24" s="36"/>
      <c r="S24" s="36"/>
      <c r="T24" s="36"/>
      <c r="U24" s="36"/>
      <c r="V24" s="32">
        <f t="shared" si="2"/>
        <v>0</v>
      </c>
      <c r="W24" s="36"/>
      <c r="X24" s="36"/>
      <c r="Y24" s="36"/>
      <c r="Z24" s="36">
        <v>1</v>
      </c>
      <c r="AA24" s="188">
        <f>SUM(W24:Z24)</f>
        <v>1</v>
      </c>
      <c r="AB24" s="36"/>
      <c r="AC24" s="36"/>
      <c r="AD24" s="36"/>
      <c r="AE24" s="36"/>
      <c r="AF24" s="32">
        <f t="shared" si="6"/>
        <v>0</v>
      </c>
      <c r="AG24" s="36"/>
      <c r="AH24" s="36"/>
      <c r="AI24" s="36"/>
      <c r="AJ24" s="36">
        <v>1</v>
      </c>
      <c r="AK24" s="188">
        <f>SUM(AG24:AJ24)</f>
        <v>1</v>
      </c>
      <c r="AL24" s="168">
        <f t="shared" si="8"/>
        <v>0</v>
      </c>
      <c r="AM24" s="33">
        <f t="shared" si="9"/>
        <v>1</v>
      </c>
      <c r="AN24" s="169">
        <f t="shared" si="10"/>
        <v>1</v>
      </c>
      <c r="AO24" s="63" t="s">
        <v>73</v>
      </c>
      <c r="AP24" s="116"/>
      <c r="AQ24" s="116"/>
      <c r="AR24" s="116"/>
      <c r="AS24" s="116"/>
      <c r="AT24" s="116"/>
      <c r="AU24" s="116"/>
      <c r="AV24" s="116"/>
      <c r="AW24" s="116"/>
      <c r="AX24" s="116"/>
      <c r="AY24" s="116"/>
      <c r="AZ24" s="116"/>
      <c r="BA24" s="116"/>
      <c r="BB24" s="116"/>
      <c r="BC24" s="116"/>
      <c r="BD24" s="116"/>
      <c r="BE24" s="116"/>
      <c r="BF24" s="116"/>
    </row>
    <row r="25" spans="1:58" ht="98.4" customHeight="1">
      <c r="A25" s="39" t="s">
        <v>74</v>
      </c>
      <c r="B25" s="29" t="s">
        <v>75</v>
      </c>
      <c r="C25" s="38" t="s">
        <v>76</v>
      </c>
      <c r="D25" s="135"/>
      <c r="E25" s="135"/>
      <c r="F25" s="144" t="s">
        <v>19</v>
      </c>
      <c r="G25" s="145" t="s">
        <v>20</v>
      </c>
      <c r="H25" s="36"/>
      <c r="I25" s="36"/>
      <c r="J25" s="36"/>
      <c r="K25" s="36"/>
      <c r="L25" s="120">
        <f t="shared" si="0"/>
        <v>0</v>
      </c>
      <c r="M25" s="36"/>
      <c r="N25" s="36"/>
      <c r="O25" s="36"/>
      <c r="P25" s="36"/>
      <c r="Q25" s="120">
        <f t="shared" si="1"/>
        <v>0</v>
      </c>
      <c r="R25" s="36"/>
      <c r="S25" s="36"/>
      <c r="T25" s="36"/>
      <c r="U25" s="36"/>
      <c r="V25" s="120">
        <f t="shared" si="2"/>
        <v>0</v>
      </c>
      <c r="W25" s="36"/>
      <c r="X25" s="36"/>
      <c r="Y25" s="36">
        <v>1</v>
      </c>
      <c r="Z25" s="36">
        <v>1</v>
      </c>
      <c r="AA25" s="189">
        <f t="shared" si="3"/>
        <v>2</v>
      </c>
      <c r="AB25" s="36"/>
      <c r="AC25" s="36"/>
      <c r="AD25" s="36"/>
      <c r="AE25" s="36"/>
      <c r="AF25" s="120">
        <f t="shared" si="6"/>
        <v>0</v>
      </c>
      <c r="AG25" s="36"/>
      <c r="AH25" s="36"/>
      <c r="AI25" s="36">
        <v>1</v>
      </c>
      <c r="AJ25" s="36">
        <v>1</v>
      </c>
      <c r="AK25" s="189">
        <f t="shared" ref="AK25:AK33" si="11">SUM(AG25:AJ25)</f>
        <v>2</v>
      </c>
      <c r="AL25" s="170">
        <f t="shared" si="8"/>
        <v>0</v>
      </c>
      <c r="AM25" s="121">
        <f t="shared" si="9"/>
        <v>2</v>
      </c>
      <c r="AN25" s="171">
        <f t="shared" si="10"/>
        <v>2</v>
      </c>
      <c r="AO25" s="64" t="s">
        <v>77</v>
      </c>
      <c r="AP25" s="116"/>
      <c r="AQ25" s="116"/>
      <c r="AR25" s="116"/>
      <c r="AS25" s="116"/>
      <c r="AT25" s="116"/>
      <c r="AU25" s="116"/>
      <c r="AV25" s="116"/>
      <c r="AW25" s="116"/>
      <c r="AX25" s="116"/>
      <c r="AY25" s="116"/>
      <c r="AZ25" s="116"/>
      <c r="BA25" s="116"/>
      <c r="BB25" s="116"/>
      <c r="BC25" s="116"/>
      <c r="BD25" s="116"/>
      <c r="BE25" s="116"/>
      <c r="BF25" s="116"/>
    </row>
    <row r="26" spans="1:58" ht="36">
      <c r="A26" s="226" t="s">
        <v>78</v>
      </c>
      <c r="B26" s="29" t="s">
        <v>79</v>
      </c>
      <c r="C26" s="38" t="s">
        <v>80</v>
      </c>
      <c r="D26" s="9" t="s">
        <v>17</v>
      </c>
      <c r="E26" s="135"/>
      <c r="F26" s="141" t="s">
        <v>19</v>
      </c>
      <c r="G26" s="142" t="s">
        <v>20</v>
      </c>
      <c r="H26" s="36"/>
      <c r="I26" s="36"/>
      <c r="J26" s="36"/>
      <c r="K26" s="36"/>
      <c r="L26" s="32">
        <f t="shared" si="0"/>
        <v>0</v>
      </c>
      <c r="M26" s="36"/>
      <c r="N26" s="36"/>
      <c r="O26" s="36">
        <v>10</v>
      </c>
      <c r="P26" s="36"/>
      <c r="Q26" s="32">
        <f t="shared" si="1"/>
        <v>10</v>
      </c>
      <c r="R26" s="36"/>
      <c r="S26" s="36"/>
      <c r="T26" s="36"/>
      <c r="U26" s="36"/>
      <c r="V26" s="32">
        <f t="shared" si="2"/>
        <v>0</v>
      </c>
      <c r="W26" s="36">
        <v>1</v>
      </c>
      <c r="X26" s="36"/>
      <c r="Y26" s="36"/>
      <c r="Z26" s="36">
        <v>8</v>
      </c>
      <c r="AA26" s="188">
        <f t="shared" si="3"/>
        <v>9</v>
      </c>
      <c r="AB26" s="36"/>
      <c r="AC26" s="36"/>
      <c r="AD26" s="36"/>
      <c r="AE26" s="36"/>
      <c r="AF26" s="32">
        <f t="shared" si="6"/>
        <v>0</v>
      </c>
      <c r="AG26" s="36">
        <v>1</v>
      </c>
      <c r="AH26" s="36"/>
      <c r="AI26" s="36">
        <v>10</v>
      </c>
      <c r="AJ26" s="36">
        <v>8</v>
      </c>
      <c r="AK26" s="188">
        <f t="shared" si="11"/>
        <v>19</v>
      </c>
      <c r="AL26" s="168">
        <f t="shared" si="8"/>
        <v>0</v>
      </c>
      <c r="AM26" s="33">
        <f t="shared" si="9"/>
        <v>19</v>
      </c>
      <c r="AN26" s="169">
        <f t="shared" si="10"/>
        <v>19</v>
      </c>
      <c r="AO26" s="64" t="s">
        <v>81</v>
      </c>
      <c r="AP26" s="116"/>
      <c r="AQ26" s="116"/>
      <c r="AR26" s="116"/>
      <c r="AS26" s="116"/>
      <c r="AT26" s="116"/>
      <c r="AU26" s="116"/>
      <c r="AV26" s="116"/>
      <c r="AW26" s="116"/>
      <c r="AX26" s="116"/>
      <c r="AY26" s="116"/>
      <c r="AZ26" s="116"/>
      <c r="BA26" s="116"/>
      <c r="BB26" s="116"/>
      <c r="BC26" s="116"/>
      <c r="BD26" s="116"/>
      <c r="BE26" s="116"/>
      <c r="BF26" s="116"/>
    </row>
    <row r="27" spans="1:58" ht="43.5" customHeight="1">
      <c r="A27" s="226"/>
      <c r="B27" s="29" t="s">
        <v>82</v>
      </c>
      <c r="C27" s="38" t="s">
        <v>83</v>
      </c>
      <c r="D27" s="9" t="s">
        <v>17</v>
      </c>
      <c r="E27" s="135"/>
      <c r="F27" s="141" t="s">
        <v>19</v>
      </c>
      <c r="G27" s="142" t="s">
        <v>20</v>
      </c>
      <c r="H27" s="36"/>
      <c r="I27" s="36"/>
      <c r="J27" s="36"/>
      <c r="K27" s="36"/>
      <c r="L27" s="32">
        <f t="shared" ref="L27" si="12">SUM(H27:K27)</f>
        <v>0</v>
      </c>
      <c r="M27" s="36"/>
      <c r="N27" s="36"/>
      <c r="O27" s="36">
        <v>0</v>
      </c>
      <c r="P27" s="36"/>
      <c r="Q27" s="32">
        <f t="shared" ref="Q27" si="13">SUM(M27:P27)</f>
        <v>0</v>
      </c>
      <c r="S27" s="36"/>
      <c r="T27" s="36"/>
      <c r="U27" s="36"/>
      <c r="V27" s="32">
        <f>SUM(S27:U27)</f>
        <v>0</v>
      </c>
      <c r="W27" s="36">
        <v>20</v>
      </c>
      <c r="X27" s="36"/>
      <c r="Y27" s="36">
        <v>244</v>
      </c>
      <c r="Z27" s="36">
        <v>200</v>
      </c>
      <c r="AA27" s="188">
        <f t="shared" ref="AA27" si="14">SUM(W27:Z27)</f>
        <v>464</v>
      </c>
      <c r="AC27" s="36"/>
      <c r="AD27" s="36"/>
      <c r="AE27" s="36"/>
      <c r="AF27" s="32">
        <f>SUM(AC27:AE27)</f>
        <v>0</v>
      </c>
      <c r="AG27" s="36">
        <v>20</v>
      </c>
      <c r="AH27" s="36"/>
      <c r="AI27" s="36">
        <v>244</v>
      </c>
      <c r="AJ27" s="36">
        <v>200</v>
      </c>
      <c r="AK27" s="188">
        <f t="shared" si="11"/>
        <v>464</v>
      </c>
      <c r="AL27" s="168">
        <f t="shared" si="8"/>
        <v>0</v>
      </c>
      <c r="AM27" s="33">
        <f t="shared" si="9"/>
        <v>464</v>
      </c>
      <c r="AN27" s="169">
        <f t="shared" si="10"/>
        <v>464</v>
      </c>
      <c r="AO27" s="64" t="s">
        <v>81</v>
      </c>
      <c r="AP27" s="116"/>
      <c r="AQ27" s="116"/>
      <c r="AR27" s="116"/>
      <c r="AS27" s="116"/>
      <c r="AT27" s="116"/>
      <c r="AU27" s="116"/>
      <c r="AV27" s="116"/>
      <c r="AW27" s="116"/>
      <c r="AX27" s="116"/>
      <c r="AY27" s="116"/>
      <c r="AZ27" s="116"/>
      <c r="BA27" s="116"/>
      <c r="BB27" s="116"/>
      <c r="BC27" s="116"/>
      <c r="BD27" s="116"/>
      <c r="BE27" s="116"/>
      <c r="BF27" s="116"/>
    </row>
    <row r="28" spans="1:58" ht="44.4" customHeight="1">
      <c r="A28" s="226"/>
      <c r="B28" s="29" t="s">
        <v>84</v>
      </c>
      <c r="C28" s="38" t="s">
        <v>85</v>
      </c>
      <c r="D28" s="9" t="s">
        <v>17</v>
      </c>
      <c r="E28" s="135"/>
      <c r="F28" s="141" t="s">
        <v>19</v>
      </c>
      <c r="G28" s="142" t="s">
        <v>20</v>
      </c>
      <c r="H28" s="36"/>
      <c r="I28" s="36"/>
      <c r="J28" s="36"/>
      <c r="K28" s="36"/>
      <c r="L28" s="32">
        <f t="shared" ref="L28:L29" si="15">SUM(H28:K28)</f>
        <v>0</v>
      </c>
      <c r="M28" s="36"/>
      <c r="N28" s="36"/>
      <c r="O28" s="36">
        <v>0</v>
      </c>
      <c r="P28" s="36"/>
      <c r="Q28" s="32">
        <f t="shared" ref="Q28:Q29" si="16">SUM(M28:P28)</f>
        <v>0</v>
      </c>
      <c r="R28" s="36"/>
      <c r="S28" s="36"/>
      <c r="T28" s="36"/>
      <c r="U28" s="36"/>
      <c r="V28" s="32">
        <f t="shared" ref="V28:V29" si="17">SUM(R28:U28)</f>
        <v>0</v>
      </c>
      <c r="W28" s="36">
        <v>20</v>
      </c>
      <c r="X28" s="36"/>
      <c r="Y28" s="36">
        <v>244</v>
      </c>
      <c r="Z28" s="36">
        <v>200</v>
      </c>
      <c r="AA28" s="188">
        <f t="shared" ref="AA28:AA29" si="18">SUM(W28:Z28)</f>
        <v>464</v>
      </c>
      <c r="AB28" s="36"/>
      <c r="AC28" s="36"/>
      <c r="AD28" s="36"/>
      <c r="AE28" s="36"/>
      <c r="AF28" s="32">
        <f t="shared" ref="AF28:AF33" si="19">SUM(AB28:AE28)</f>
        <v>0</v>
      </c>
      <c r="AG28" s="36">
        <v>20</v>
      </c>
      <c r="AH28" s="36"/>
      <c r="AI28" s="36">
        <v>244</v>
      </c>
      <c r="AJ28" s="36">
        <v>200</v>
      </c>
      <c r="AK28" s="188">
        <f t="shared" si="11"/>
        <v>464</v>
      </c>
      <c r="AL28" s="168">
        <f t="shared" si="8"/>
        <v>0</v>
      </c>
      <c r="AM28" s="33">
        <f t="shared" si="9"/>
        <v>464</v>
      </c>
      <c r="AN28" s="169">
        <f t="shared" si="10"/>
        <v>464</v>
      </c>
      <c r="AO28" s="64" t="s">
        <v>86</v>
      </c>
      <c r="AP28" s="116"/>
      <c r="AQ28" s="116"/>
      <c r="AR28" s="116"/>
      <c r="AS28" s="116"/>
      <c r="AT28" s="116"/>
      <c r="AU28" s="116"/>
      <c r="AV28" s="116"/>
      <c r="AW28" s="116"/>
      <c r="AX28" s="116"/>
      <c r="AY28" s="116"/>
      <c r="AZ28" s="116"/>
      <c r="BA28" s="116"/>
      <c r="BB28" s="116"/>
      <c r="BC28" s="116"/>
      <c r="BD28" s="116"/>
      <c r="BE28" s="116"/>
      <c r="BF28" s="116"/>
    </row>
    <row r="29" spans="1:58" ht="58.95" customHeight="1">
      <c r="A29" s="226"/>
      <c r="B29" s="29" t="s">
        <v>87</v>
      </c>
      <c r="C29" s="29" t="s">
        <v>88</v>
      </c>
      <c r="D29" s="9" t="s">
        <v>17</v>
      </c>
      <c r="E29" s="135"/>
      <c r="F29" s="141" t="s">
        <v>19</v>
      </c>
      <c r="G29" s="142" t="s">
        <v>20</v>
      </c>
      <c r="H29" s="36"/>
      <c r="I29" s="36"/>
      <c r="J29" s="36"/>
      <c r="K29" s="36"/>
      <c r="L29" s="32">
        <f t="shared" si="15"/>
        <v>0</v>
      </c>
      <c r="M29" s="36">
        <v>0</v>
      </c>
      <c r="N29" s="36"/>
      <c r="O29" s="36">
        <v>11</v>
      </c>
      <c r="P29" s="36"/>
      <c r="Q29" s="32">
        <f t="shared" si="16"/>
        <v>11</v>
      </c>
      <c r="R29" s="36"/>
      <c r="S29" s="36"/>
      <c r="T29" s="36"/>
      <c r="U29" s="36"/>
      <c r="V29" s="32">
        <f t="shared" si="17"/>
        <v>0</v>
      </c>
      <c r="W29" s="36"/>
      <c r="X29" s="36"/>
      <c r="Y29" s="36"/>
      <c r="Z29" s="36">
        <v>8</v>
      </c>
      <c r="AA29" s="188">
        <f t="shared" si="18"/>
        <v>8</v>
      </c>
      <c r="AB29" s="36"/>
      <c r="AC29" s="36"/>
      <c r="AD29" s="36"/>
      <c r="AE29" s="36"/>
      <c r="AF29" s="32">
        <f t="shared" si="19"/>
        <v>0</v>
      </c>
      <c r="AG29" s="36"/>
      <c r="AH29" s="36"/>
      <c r="AI29" s="36">
        <v>11</v>
      </c>
      <c r="AJ29" s="36">
        <v>8</v>
      </c>
      <c r="AK29" s="188">
        <f t="shared" si="11"/>
        <v>19</v>
      </c>
      <c r="AL29" s="168">
        <f t="shared" si="8"/>
        <v>0</v>
      </c>
      <c r="AM29" s="33">
        <f t="shared" si="9"/>
        <v>19</v>
      </c>
      <c r="AN29" s="169">
        <f t="shared" si="10"/>
        <v>19</v>
      </c>
      <c r="AO29" s="64" t="s">
        <v>89</v>
      </c>
      <c r="AP29" s="116"/>
      <c r="AQ29" s="116"/>
      <c r="AR29" s="116"/>
      <c r="AS29" s="116"/>
      <c r="AT29" s="116"/>
      <c r="AU29" s="219"/>
      <c r="AV29" s="116"/>
      <c r="AW29" s="116"/>
      <c r="AX29" s="116"/>
      <c r="AY29" s="116"/>
      <c r="AZ29" s="116"/>
      <c r="BA29" s="116"/>
      <c r="BB29" s="116"/>
      <c r="BC29" s="116"/>
      <c r="BD29" s="116"/>
      <c r="BE29" s="116"/>
      <c r="BF29" s="116"/>
    </row>
    <row r="30" spans="1:58" ht="97.2" customHeight="1">
      <c r="A30" s="74" t="s">
        <v>90</v>
      </c>
      <c r="B30" s="29" t="s">
        <v>91</v>
      </c>
      <c r="C30" s="38" t="s">
        <v>92</v>
      </c>
      <c r="D30" s="9" t="s">
        <v>17</v>
      </c>
      <c r="E30" s="135"/>
      <c r="F30" s="141" t="s">
        <v>19</v>
      </c>
      <c r="G30" s="142" t="s">
        <v>20</v>
      </c>
      <c r="H30" s="36"/>
      <c r="I30" s="36"/>
      <c r="J30" s="36"/>
      <c r="K30" s="36"/>
      <c r="L30" s="32">
        <f t="shared" si="0"/>
        <v>0</v>
      </c>
      <c r="M30" s="36"/>
      <c r="N30" s="36"/>
      <c r="O30" s="36"/>
      <c r="P30" s="36">
        <v>0</v>
      </c>
      <c r="Q30" s="32">
        <f t="shared" si="1"/>
        <v>0</v>
      </c>
      <c r="R30" s="36"/>
      <c r="S30" s="36"/>
      <c r="T30" s="36"/>
      <c r="U30" s="36"/>
      <c r="V30" s="32">
        <f t="shared" si="2"/>
        <v>0</v>
      </c>
      <c r="W30" s="36"/>
      <c r="X30" s="36"/>
      <c r="Y30" s="36"/>
      <c r="Z30" s="36">
        <v>1</v>
      </c>
      <c r="AA30" s="188">
        <f t="shared" si="3"/>
        <v>1</v>
      </c>
      <c r="AB30" s="36"/>
      <c r="AC30" s="36"/>
      <c r="AD30" s="36"/>
      <c r="AE30" s="36"/>
      <c r="AF30" s="32">
        <f t="shared" si="19"/>
        <v>0</v>
      </c>
      <c r="AG30" s="36"/>
      <c r="AH30" s="36"/>
      <c r="AI30" s="36"/>
      <c r="AJ30" s="36">
        <v>1</v>
      </c>
      <c r="AK30" s="188">
        <f t="shared" si="11"/>
        <v>1</v>
      </c>
      <c r="AL30" s="168">
        <f t="shared" si="8"/>
        <v>0</v>
      </c>
      <c r="AM30" s="33">
        <f t="shared" si="9"/>
        <v>1</v>
      </c>
      <c r="AN30" s="169">
        <f t="shared" si="10"/>
        <v>1</v>
      </c>
      <c r="AO30" s="64" t="s">
        <v>93</v>
      </c>
      <c r="AP30" s="116"/>
      <c r="AQ30" s="116"/>
      <c r="AR30" s="116"/>
      <c r="AS30" s="116"/>
      <c r="AT30" s="116"/>
      <c r="AU30" s="116"/>
      <c r="AV30" s="116"/>
      <c r="AW30" s="116"/>
      <c r="AX30" s="116"/>
      <c r="AY30" s="116"/>
      <c r="AZ30" s="116"/>
      <c r="BA30" s="116"/>
      <c r="BB30" s="116"/>
      <c r="BC30" s="116"/>
      <c r="BD30" s="116"/>
      <c r="BE30" s="116"/>
      <c r="BF30" s="116"/>
    </row>
    <row r="31" spans="1:58" ht="84" customHeight="1">
      <c r="A31" s="112" t="s">
        <v>94</v>
      </c>
      <c r="B31" s="29" t="s">
        <v>95</v>
      </c>
      <c r="C31" s="38" t="s">
        <v>96</v>
      </c>
      <c r="D31" s="9" t="s">
        <v>17</v>
      </c>
      <c r="E31" s="135"/>
      <c r="F31" s="141" t="s">
        <v>19</v>
      </c>
      <c r="G31" s="142" t="s">
        <v>20</v>
      </c>
      <c r="H31" s="36"/>
      <c r="I31" s="36"/>
      <c r="J31" s="36"/>
      <c r="K31" s="36"/>
      <c r="L31" s="32">
        <f t="shared" si="0"/>
        <v>0</v>
      </c>
      <c r="M31" s="36"/>
      <c r="N31" s="36"/>
      <c r="O31" s="36"/>
      <c r="P31" s="36"/>
      <c r="Q31" s="32">
        <f t="shared" si="1"/>
        <v>0</v>
      </c>
      <c r="R31" s="36"/>
      <c r="S31" s="36"/>
      <c r="T31" s="36"/>
      <c r="U31" s="36"/>
      <c r="V31" s="32">
        <f t="shared" si="2"/>
        <v>0</v>
      </c>
      <c r="W31" s="36">
        <f>W28</f>
        <v>20</v>
      </c>
      <c r="X31" s="36"/>
      <c r="Y31" s="36">
        <v>244</v>
      </c>
      <c r="Z31" s="36">
        <v>200</v>
      </c>
      <c r="AA31" s="188">
        <f t="shared" si="3"/>
        <v>464</v>
      </c>
      <c r="AB31" s="36"/>
      <c r="AC31" s="36"/>
      <c r="AD31" s="36"/>
      <c r="AE31" s="36"/>
      <c r="AF31" s="32">
        <f t="shared" si="19"/>
        <v>0</v>
      </c>
      <c r="AG31" s="36">
        <f>AG28</f>
        <v>20</v>
      </c>
      <c r="AH31" s="36"/>
      <c r="AI31" s="36">
        <v>244</v>
      </c>
      <c r="AJ31" s="36">
        <v>200</v>
      </c>
      <c r="AK31" s="188">
        <f t="shared" si="11"/>
        <v>464</v>
      </c>
      <c r="AL31" s="168">
        <f t="shared" si="8"/>
        <v>0</v>
      </c>
      <c r="AM31" s="33">
        <f t="shared" si="9"/>
        <v>464</v>
      </c>
      <c r="AN31" s="169">
        <f t="shared" si="10"/>
        <v>464</v>
      </c>
      <c r="AO31" s="64" t="s">
        <v>73</v>
      </c>
      <c r="AP31" s="116"/>
      <c r="AQ31" s="116"/>
      <c r="AR31" s="116"/>
      <c r="AS31" s="116"/>
      <c r="AT31" s="116"/>
      <c r="AU31" s="116"/>
      <c r="AV31" s="116"/>
      <c r="AW31" s="116"/>
      <c r="AX31" s="116"/>
      <c r="AY31" s="116"/>
      <c r="AZ31" s="116"/>
      <c r="BA31" s="116"/>
      <c r="BB31" s="116"/>
      <c r="BC31" s="116"/>
      <c r="BD31" s="116"/>
      <c r="BE31" s="116"/>
      <c r="BF31" s="116"/>
    </row>
    <row r="32" spans="1:58" ht="43.5" customHeight="1">
      <c r="A32" s="74" t="s">
        <v>97</v>
      </c>
      <c r="B32" s="29" t="s">
        <v>98</v>
      </c>
      <c r="C32" s="38" t="s">
        <v>99</v>
      </c>
      <c r="D32" s="9" t="s">
        <v>17</v>
      </c>
      <c r="E32" s="135"/>
      <c r="F32" s="141" t="s">
        <v>19</v>
      </c>
      <c r="G32" s="142" t="s">
        <v>20</v>
      </c>
      <c r="H32" s="36"/>
      <c r="I32" s="36"/>
      <c r="J32" s="36"/>
      <c r="K32" s="36"/>
      <c r="L32" s="32">
        <f t="shared" si="0"/>
        <v>0</v>
      </c>
      <c r="M32" s="36">
        <v>0</v>
      </c>
      <c r="N32" s="36"/>
      <c r="O32" s="36">
        <v>0</v>
      </c>
      <c r="P32" s="36">
        <v>0</v>
      </c>
      <c r="Q32" s="32">
        <f t="shared" si="1"/>
        <v>0</v>
      </c>
      <c r="R32" s="36"/>
      <c r="S32" s="36"/>
      <c r="T32" s="36"/>
      <c r="U32" s="36"/>
      <c r="V32" s="32">
        <f t="shared" si="2"/>
        <v>0</v>
      </c>
      <c r="W32" s="36">
        <v>1</v>
      </c>
      <c r="X32" s="36"/>
      <c r="Y32" s="36">
        <v>1</v>
      </c>
      <c r="Z32" s="36">
        <v>1</v>
      </c>
      <c r="AA32" s="188">
        <f t="shared" si="3"/>
        <v>3</v>
      </c>
      <c r="AB32" s="36"/>
      <c r="AC32" s="36"/>
      <c r="AD32" s="36"/>
      <c r="AE32" s="36"/>
      <c r="AF32" s="32">
        <f t="shared" si="19"/>
        <v>0</v>
      </c>
      <c r="AG32" s="36">
        <v>1</v>
      </c>
      <c r="AH32" s="36"/>
      <c r="AI32" s="36">
        <v>1</v>
      </c>
      <c r="AJ32" s="36">
        <v>1</v>
      </c>
      <c r="AK32" s="188">
        <f t="shared" si="11"/>
        <v>3</v>
      </c>
      <c r="AL32" s="168">
        <f t="shared" si="8"/>
        <v>0</v>
      </c>
      <c r="AM32" s="33">
        <f t="shared" si="9"/>
        <v>3</v>
      </c>
      <c r="AN32" s="169">
        <f t="shared" si="10"/>
        <v>3</v>
      </c>
      <c r="AO32" s="64" t="s">
        <v>100</v>
      </c>
      <c r="AP32" s="116"/>
      <c r="AQ32" s="116"/>
      <c r="AR32" s="116"/>
      <c r="AS32" s="116"/>
      <c r="AT32" s="116"/>
      <c r="AU32" s="116"/>
      <c r="AV32" s="116"/>
      <c r="AW32" s="116"/>
      <c r="AX32" s="116"/>
      <c r="AY32" s="116"/>
      <c r="AZ32" s="116"/>
      <c r="BA32" s="116"/>
      <c r="BB32" s="116"/>
      <c r="BC32" s="116"/>
      <c r="BD32" s="116"/>
      <c r="BE32" s="116"/>
      <c r="BF32" s="116"/>
    </row>
    <row r="33" spans="1:58" ht="43.5" customHeight="1">
      <c r="A33" s="123" t="s">
        <v>101</v>
      </c>
      <c r="B33" s="56" t="s">
        <v>102</v>
      </c>
      <c r="C33" s="85" t="s">
        <v>103</v>
      </c>
      <c r="D33" s="5" t="s">
        <v>17</v>
      </c>
      <c r="E33" s="136"/>
      <c r="F33" s="136"/>
      <c r="G33" s="136"/>
      <c r="H33" s="44"/>
      <c r="I33" s="44"/>
      <c r="J33" s="44"/>
      <c r="K33" s="44"/>
      <c r="L33" s="58">
        <f t="shared" si="0"/>
        <v>0</v>
      </c>
      <c r="M33" s="44" t="s">
        <v>104</v>
      </c>
      <c r="N33" s="44"/>
      <c r="O33" s="44"/>
      <c r="P33" s="44"/>
      <c r="Q33" s="58">
        <f t="shared" si="1"/>
        <v>0</v>
      </c>
      <c r="R33" s="44"/>
      <c r="S33" s="44"/>
      <c r="T33" s="44"/>
      <c r="U33" s="44"/>
      <c r="V33" s="58">
        <f t="shared" si="2"/>
        <v>0</v>
      </c>
      <c r="W33" s="44" t="s">
        <v>104</v>
      </c>
      <c r="X33" s="44"/>
      <c r="Y33" s="44"/>
      <c r="Z33" s="44"/>
      <c r="AA33" s="190">
        <f t="shared" si="3"/>
        <v>0</v>
      </c>
      <c r="AB33" s="44"/>
      <c r="AC33" s="44"/>
      <c r="AD33" s="44"/>
      <c r="AE33" s="44"/>
      <c r="AF33" s="58">
        <f t="shared" si="19"/>
        <v>0</v>
      </c>
      <c r="AG33" s="44" t="s">
        <v>104</v>
      </c>
      <c r="AH33" s="44"/>
      <c r="AI33" s="44"/>
      <c r="AJ33" s="44"/>
      <c r="AK33" s="190">
        <f t="shared" si="11"/>
        <v>0</v>
      </c>
      <c r="AL33" s="172">
        <f t="shared" si="8"/>
        <v>0</v>
      </c>
      <c r="AM33" s="59">
        <f t="shared" si="9"/>
        <v>0</v>
      </c>
      <c r="AN33" s="173">
        <f t="shared" si="10"/>
        <v>0</v>
      </c>
      <c r="AO33" s="67" t="s">
        <v>105</v>
      </c>
      <c r="AP33" s="116"/>
      <c r="AQ33" s="116"/>
      <c r="AR33" s="116"/>
      <c r="AS33" s="116"/>
      <c r="AT33" s="116"/>
      <c r="AU33" s="116"/>
      <c r="AV33" s="116"/>
      <c r="AW33" s="116"/>
      <c r="AX33" s="116"/>
      <c r="AY33" s="116"/>
      <c r="AZ33" s="116"/>
      <c r="BA33" s="116"/>
      <c r="BB33" s="116"/>
      <c r="BC33" s="116"/>
      <c r="BD33" s="116"/>
      <c r="BE33" s="116"/>
      <c r="BF33" s="116"/>
    </row>
    <row r="34" spans="1:58" ht="12" customHeight="1">
      <c r="A34" s="228" t="s">
        <v>106</v>
      </c>
      <c r="B34" s="229"/>
      <c r="C34" s="92"/>
      <c r="D34" s="5" t="s">
        <v>17</v>
      </c>
      <c r="E34" s="6" t="s">
        <v>18</v>
      </c>
      <c r="F34" s="7" t="s">
        <v>19</v>
      </c>
      <c r="G34" s="8" t="s">
        <v>20</v>
      </c>
      <c r="H34" s="82"/>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174"/>
      <c r="AM34" s="81"/>
      <c r="AN34" s="175"/>
      <c r="AO34" s="68"/>
      <c r="AP34" s="116"/>
      <c r="AQ34" s="116"/>
      <c r="AR34" s="116"/>
      <c r="AS34" s="116"/>
      <c r="AT34" s="116"/>
      <c r="AU34" s="116"/>
      <c r="AV34" s="116"/>
      <c r="AW34" s="116"/>
      <c r="AX34" s="116"/>
      <c r="AY34" s="116"/>
      <c r="AZ34" s="116"/>
      <c r="BA34" s="116"/>
      <c r="BB34" s="116"/>
      <c r="BC34" s="116"/>
      <c r="BD34" s="116"/>
      <c r="BE34" s="116"/>
      <c r="BF34" s="116"/>
    </row>
    <row r="35" spans="1:58" ht="48">
      <c r="A35" s="225" t="s">
        <v>107</v>
      </c>
      <c r="B35" s="86" t="s">
        <v>108</v>
      </c>
      <c r="C35" s="41" t="s">
        <v>109</v>
      </c>
      <c r="D35" s="137" t="s">
        <v>17</v>
      </c>
      <c r="E35" s="138"/>
      <c r="F35" s="139" t="s">
        <v>19</v>
      </c>
      <c r="G35" s="140" t="s">
        <v>20</v>
      </c>
      <c r="H35" s="87"/>
      <c r="I35" s="87"/>
      <c r="J35" s="87"/>
      <c r="K35" s="87"/>
      <c r="L35" s="88">
        <f t="shared" si="0"/>
        <v>0</v>
      </c>
      <c r="M35" s="87"/>
      <c r="N35" s="87"/>
      <c r="O35" s="87"/>
      <c r="P35" s="87"/>
      <c r="Q35" s="88">
        <f t="shared" si="1"/>
        <v>0</v>
      </c>
      <c r="R35" s="87"/>
      <c r="S35" s="87"/>
      <c r="T35" s="87"/>
      <c r="U35" s="87"/>
      <c r="V35" s="88">
        <f t="shared" si="2"/>
        <v>0</v>
      </c>
      <c r="W35" s="87"/>
      <c r="X35" s="87"/>
      <c r="Y35" s="87"/>
      <c r="Z35" s="87"/>
      <c r="AA35" s="187">
        <f t="shared" si="3"/>
        <v>0</v>
      </c>
      <c r="AB35" s="87"/>
      <c r="AC35" s="87"/>
      <c r="AD35" s="87"/>
      <c r="AE35" s="87"/>
      <c r="AF35" s="88">
        <f t="shared" ref="AF35:AF51" si="20">SUM(AB35:AE35)</f>
        <v>0</v>
      </c>
      <c r="AG35" s="87"/>
      <c r="AH35" s="87"/>
      <c r="AI35" s="87"/>
      <c r="AJ35" s="87"/>
      <c r="AK35" s="187">
        <f t="shared" ref="AK35:AK36" si="21">SUM(AG35:AJ35)</f>
        <v>0</v>
      </c>
      <c r="AL35" s="165">
        <v>0.8</v>
      </c>
      <c r="AM35" s="165">
        <v>0.8</v>
      </c>
      <c r="AN35" s="165">
        <v>0.8</v>
      </c>
      <c r="AO35" s="91" t="s">
        <v>110</v>
      </c>
      <c r="AP35" s="116"/>
      <c r="AQ35" s="116"/>
      <c r="AR35" s="116"/>
      <c r="AS35" s="116"/>
      <c r="AT35" s="116"/>
      <c r="AU35" s="116"/>
      <c r="AV35" s="116"/>
      <c r="AW35" s="116"/>
      <c r="AX35" s="116"/>
      <c r="AY35" s="116"/>
      <c r="AZ35" s="116"/>
      <c r="BA35" s="116"/>
      <c r="BB35" s="116"/>
      <c r="BC35" s="116"/>
      <c r="BD35" s="116"/>
      <c r="BE35" s="116"/>
      <c r="BF35" s="116"/>
    </row>
    <row r="36" spans="1:58" ht="48">
      <c r="A36" s="231"/>
      <c r="B36" s="29" t="s">
        <v>111</v>
      </c>
      <c r="C36" s="38" t="s">
        <v>112</v>
      </c>
      <c r="D36" s="9" t="s">
        <v>17</v>
      </c>
      <c r="E36" s="135"/>
      <c r="F36" s="141" t="s">
        <v>19</v>
      </c>
      <c r="G36" s="142" t="s">
        <v>20</v>
      </c>
      <c r="H36" s="40"/>
      <c r="I36" s="40"/>
      <c r="J36" s="40"/>
      <c r="K36" s="40"/>
      <c r="L36" s="32">
        <f t="shared" si="0"/>
        <v>0</v>
      </c>
      <c r="M36" s="40"/>
      <c r="N36" s="40"/>
      <c r="O36" s="40"/>
      <c r="P36" s="40"/>
      <c r="Q36" s="32">
        <f t="shared" si="1"/>
        <v>0</v>
      </c>
      <c r="R36" s="40"/>
      <c r="S36" s="40"/>
      <c r="T36" s="40"/>
      <c r="U36" s="40"/>
      <c r="V36" s="32">
        <f t="shared" si="2"/>
        <v>0</v>
      </c>
      <c r="W36" s="40"/>
      <c r="X36" s="40"/>
      <c r="Y36" s="40"/>
      <c r="Z36" s="40"/>
      <c r="AA36" s="188">
        <f t="shared" si="3"/>
        <v>0</v>
      </c>
      <c r="AB36" s="40"/>
      <c r="AC36" s="40"/>
      <c r="AD36" s="40"/>
      <c r="AE36" s="40"/>
      <c r="AF36" s="32">
        <f t="shared" si="20"/>
        <v>0</v>
      </c>
      <c r="AG36" s="40"/>
      <c r="AH36" s="40"/>
      <c r="AI36" s="40"/>
      <c r="AJ36" s="40"/>
      <c r="AK36" s="188">
        <f t="shared" si="21"/>
        <v>0</v>
      </c>
      <c r="AL36" s="167">
        <v>0.7</v>
      </c>
      <c r="AM36" s="167">
        <v>0.7</v>
      </c>
      <c r="AN36" s="167">
        <v>0.7</v>
      </c>
      <c r="AO36" s="61" t="s">
        <v>113</v>
      </c>
      <c r="AP36" s="116"/>
      <c r="AQ36" s="116"/>
      <c r="AR36" s="116"/>
      <c r="AS36" s="116"/>
      <c r="AT36" s="116"/>
      <c r="AU36" s="116"/>
      <c r="AV36" s="116"/>
      <c r="AW36" s="116"/>
      <c r="AX36" s="116"/>
      <c r="AY36" s="116"/>
      <c r="AZ36" s="116"/>
      <c r="BA36" s="116"/>
      <c r="BB36" s="116"/>
      <c r="BC36" s="116"/>
      <c r="BD36" s="116"/>
      <c r="BE36" s="116"/>
      <c r="BF36" s="116"/>
    </row>
    <row r="37" spans="1:58" ht="43.5" customHeight="1">
      <c r="A37" s="232" t="s">
        <v>114</v>
      </c>
      <c r="B37" s="29" t="s">
        <v>115</v>
      </c>
      <c r="C37" s="38" t="s">
        <v>116</v>
      </c>
      <c r="D37" s="9" t="s">
        <v>17</v>
      </c>
      <c r="E37" s="135"/>
      <c r="F37" s="141" t="s">
        <v>19</v>
      </c>
      <c r="G37" s="142" t="s">
        <v>20</v>
      </c>
      <c r="H37" s="40"/>
      <c r="I37" s="40"/>
      <c r="J37" s="40"/>
      <c r="K37" s="40"/>
      <c r="L37" s="32">
        <f t="shared" si="0"/>
        <v>0</v>
      </c>
      <c r="M37" s="40"/>
      <c r="N37" s="40"/>
      <c r="O37" s="40"/>
      <c r="P37" s="40"/>
      <c r="Q37" s="32">
        <f t="shared" si="1"/>
        <v>0</v>
      </c>
      <c r="R37" s="117"/>
      <c r="S37" s="117"/>
      <c r="T37" s="117"/>
      <c r="U37" s="117"/>
      <c r="V37" s="32">
        <f t="shared" si="2"/>
        <v>0</v>
      </c>
      <c r="W37" s="40"/>
      <c r="X37" s="40"/>
      <c r="Y37" s="40"/>
      <c r="Z37" s="40"/>
      <c r="AA37" s="188">
        <f>SUM(W37:Z37)</f>
        <v>0</v>
      </c>
      <c r="AB37" s="117"/>
      <c r="AC37" s="117"/>
      <c r="AD37" s="117"/>
      <c r="AE37" s="117"/>
      <c r="AF37" s="32">
        <f t="shared" si="20"/>
        <v>0</v>
      </c>
      <c r="AG37" s="40"/>
      <c r="AH37" s="40"/>
      <c r="AI37" s="40"/>
      <c r="AJ37" s="40"/>
      <c r="AK37" s="188">
        <f>SUM(AG37:AJ37)</f>
        <v>0</v>
      </c>
      <c r="AL37" s="167">
        <v>0.7</v>
      </c>
      <c r="AM37" s="167">
        <v>0.7</v>
      </c>
      <c r="AN37" s="167">
        <v>0.7</v>
      </c>
      <c r="AO37" s="61" t="s">
        <v>117</v>
      </c>
      <c r="AP37" s="116"/>
      <c r="AQ37" s="116"/>
      <c r="AR37" s="116"/>
      <c r="AS37" s="116"/>
      <c r="AT37" s="116"/>
      <c r="AU37" s="116"/>
      <c r="AV37" s="116"/>
      <c r="AW37" s="116"/>
      <c r="AX37" s="116"/>
      <c r="AY37" s="116"/>
      <c r="AZ37" s="116"/>
      <c r="BA37" s="116"/>
      <c r="BB37" s="116"/>
      <c r="BC37" s="116"/>
      <c r="BD37" s="116"/>
      <c r="BE37" s="116"/>
      <c r="BF37" s="116"/>
    </row>
    <row r="38" spans="1:58" ht="30.6" customHeight="1">
      <c r="A38" s="233"/>
      <c r="B38" s="29" t="s">
        <v>118</v>
      </c>
      <c r="C38" s="38" t="s">
        <v>119</v>
      </c>
      <c r="D38" s="9" t="s">
        <v>17</v>
      </c>
      <c r="E38" s="135"/>
      <c r="F38" s="141" t="s">
        <v>19</v>
      </c>
      <c r="G38" s="142" t="s">
        <v>20</v>
      </c>
      <c r="H38" s="40"/>
      <c r="I38" s="40"/>
      <c r="J38" s="40"/>
      <c r="K38" s="40"/>
      <c r="L38" s="32">
        <f t="shared" si="0"/>
        <v>0</v>
      </c>
      <c r="M38" s="40"/>
      <c r="N38" s="40"/>
      <c r="O38" s="40"/>
      <c r="P38" s="40"/>
      <c r="Q38" s="32">
        <f t="shared" si="1"/>
        <v>0</v>
      </c>
      <c r="R38" s="117"/>
      <c r="S38" s="117"/>
      <c r="T38" s="117"/>
      <c r="U38" s="117"/>
      <c r="V38" s="32">
        <f t="shared" si="2"/>
        <v>0</v>
      </c>
      <c r="W38" s="40"/>
      <c r="X38" s="40"/>
      <c r="Y38" s="40"/>
      <c r="Z38" s="40"/>
      <c r="AA38" s="188">
        <f t="shared" si="3"/>
        <v>0</v>
      </c>
      <c r="AB38" s="117"/>
      <c r="AC38" s="117"/>
      <c r="AD38" s="117"/>
      <c r="AE38" s="117"/>
      <c r="AF38" s="32">
        <f t="shared" si="20"/>
        <v>0</v>
      </c>
      <c r="AG38" s="40"/>
      <c r="AH38" s="40"/>
      <c r="AI38" s="40"/>
      <c r="AJ38" s="40"/>
      <c r="AK38" s="188">
        <f t="shared" ref="AK38:AK51" si="22">SUM(AG38:AJ38)</f>
        <v>0</v>
      </c>
      <c r="AL38" s="167">
        <v>0.5</v>
      </c>
      <c r="AM38" s="167">
        <v>0.5</v>
      </c>
      <c r="AN38" s="167">
        <v>0.5</v>
      </c>
      <c r="AO38" s="61" t="s">
        <v>120</v>
      </c>
      <c r="AP38" s="116"/>
      <c r="AQ38" s="116"/>
      <c r="AR38" s="116"/>
      <c r="AS38" s="116"/>
      <c r="AT38" s="116"/>
      <c r="AU38" s="116"/>
      <c r="AV38" s="116"/>
      <c r="AW38" s="116"/>
      <c r="AX38" s="116"/>
      <c r="AY38" s="116"/>
      <c r="AZ38" s="116"/>
      <c r="BA38" s="116"/>
      <c r="BB38" s="116"/>
      <c r="BC38" s="116"/>
      <c r="BD38" s="116"/>
      <c r="BE38" s="116"/>
      <c r="BF38" s="116"/>
    </row>
    <row r="39" spans="1:58" ht="30.6" customHeight="1">
      <c r="A39" s="234"/>
      <c r="B39" s="29" t="s">
        <v>121</v>
      </c>
      <c r="C39" s="38" t="s">
        <v>122</v>
      </c>
      <c r="D39" s="9" t="s">
        <v>17</v>
      </c>
      <c r="E39" s="135"/>
      <c r="F39" s="141" t="s">
        <v>19</v>
      </c>
      <c r="G39" s="142" t="s">
        <v>20</v>
      </c>
      <c r="H39" s="117"/>
      <c r="I39" s="117"/>
      <c r="J39" s="117"/>
      <c r="K39" s="117"/>
      <c r="L39" s="32">
        <f t="shared" si="0"/>
        <v>0</v>
      </c>
      <c r="M39" s="40"/>
      <c r="N39" s="40"/>
      <c r="O39" s="40"/>
      <c r="P39" s="40"/>
      <c r="Q39" s="32">
        <f t="shared" si="1"/>
        <v>0</v>
      </c>
      <c r="R39" s="117"/>
      <c r="S39" s="117"/>
      <c r="T39" s="117"/>
      <c r="U39" s="117"/>
      <c r="V39" s="32">
        <f t="shared" si="2"/>
        <v>0</v>
      </c>
      <c r="W39" s="40"/>
      <c r="X39" s="40"/>
      <c r="Y39" s="40"/>
      <c r="Z39" s="40"/>
      <c r="AA39" s="188">
        <f t="shared" si="3"/>
        <v>0</v>
      </c>
      <c r="AB39" s="117"/>
      <c r="AC39" s="117"/>
      <c r="AD39" s="117"/>
      <c r="AE39" s="117"/>
      <c r="AF39" s="32">
        <f t="shared" si="20"/>
        <v>0</v>
      </c>
      <c r="AG39" s="40"/>
      <c r="AH39" s="40"/>
      <c r="AI39" s="40"/>
      <c r="AJ39" s="40"/>
      <c r="AK39" s="188">
        <f t="shared" si="22"/>
        <v>0</v>
      </c>
      <c r="AL39" s="167">
        <v>0.5</v>
      </c>
      <c r="AM39" s="167">
        <v>0.5</v>
      </c>
      <c r="AN39" s="167">
        <v>0.5</v>
      </c>
      <c r="AO39" s="61" t="s">
        <v>123</v>
      </c>
      <c r="AP39" s="116"/>
      <c r="AQ39" s="116"/>
      <c r="AR39" s="116"/>
      <c r="AS39" s="116"/>
      <c r="AT39" s="116"/>
      <c r="AU39" s="116"/>
      <c r="AV39" s="116"/>
      <c r="AW39" s="116"/>
      <c r="AX39" s="116"/>
      <c r="AY39" s="116"/>
      <c r="AZ39" s="116"/>
      <c r="BA39" s="116"/>
      <c r="BB39" s="116"/>
      <c r="BC39" s="116"/>
      <c r="BD39" s="116"/>
      <c r="BE39" s="116"/>
      <c r="BF39" s="116"/>
    </row>
    <row r="40" spans="1:58" ht="58.95" customHeight="1">
      <c r="A40" s="124" t="s">
        <v>124</v>
      </c>
      <c r="B40" s="29" t="s">
        <v>125</v>
      </c>
      <c r="C40" s="38" t="s">
        <v>126</v>
      </c>
      <c r="D40" s="135"/>
      <c r="E40" s="135"/>
      <c r="F40" s="135"/>
      <c r="G40" s="142" t="s">
        <v>20</v>
      </c>
      <c r="H40" s="36"/>
      <c r="I40" s="36"/>
      <c r="J40" s="36"/>
      <c r="K40" s="36">
        <v>0</v>
      </c>
      <c r="L40" s="32">
        <f t="shared" si="0"/>
        <v>0</v>
      </c>
      <c r="M40" s="36"/>
      <c r="N40" s="36"/>
      <c r="O40" s="36"/>
      <c r="P40" s="36">
        <v>0</v>
      </c>
      <c r="Q40" s="32">
        <f t="shared" si="1"/>
        <v>0</v>
      </c>
      <c r="R40" s="36"/>
      <c r="S40" s="36"/>
      <c r="T40" s="36"/>
      <c r="U40" s="36">
        <v>1</v>
      </c>
      <c r="V40" s="32">
        <f t="shared" si="2"/>
        <v>1</v>
      </c>
      <c r="W40" s="36"/>
      <c r="X40" s="36"/>
      <c r="Y40" s="36"/>
      <c r="Z40" s="36">
        <v>1</v>
      </c>
      <c r="AA40" s="188">
        <f t="shared" si="3"/>
        <v>1</v>
      </c>
      <c r="AB40" s="36"/>
      <c r="AC40" s="36"/>
      <c r="AD40" s="36"/>
      <c r="AE40" s="36">
        <v>1</v>
      </c>
      <c r="AF40" s="32">
        <f t="shared" si="20"/>
        <v>1</v>
      </c>
      <c r="AG40" s="36"/>
      <c r="AH40" s="36"/>
      <c r="AI40" s="36"/>
      <c r="AJ40" s="36">
        <v>1</v>
      </c>
      <c r="AK40" s="188">
        <f t="shared" si="22"/>
        <v>1</v>
      </c>
      <c r="AL40" s="168">
        <f t="shared" ref="AL40:AL51" si="23">V40+L40</f>
        <v>1</v>
      </c>
      <c r="AM40" s="33">
        <f t="shared" ref="AM40:AM51" si="24">AA40+Q40</f>
        <v>1</v>
      </c>
      <c r="AN40" s="169">
        <f t="shared" ref="AN40:AN51" si="25">SUM(L40,Q40,V40,AA40)</f>
        <v>2</v>
      </c>
      <c r="AO40" s="61" t="s">
        <v>127</v>
      </c>
      <c r="AP40" s="116"/>
      <c r="AQ40" s="116"/>
      <c r="AR40" s="116"/>
      <c r="AS40" s="116"/>
      <c r="AT40" s="116"/>
      <c r="AU40" s="116"/>
      <c r="AV40" s="116"/>
      <c r="AW40" s="116"/>
      <c r="AX40" s="116"/>
      <c r="AY40" s="116"/>
      <c r="AZ40" s="116"/>
      <c r="BA40" s="116"/>
      <c r="BB40" s="116"/>
      <c r="BC40" s="116"/>
      <c r="BD40" s="116"/>
      <c r="BE40" s="116"/>
      <c r="BF40" s="116"/>
    </row>
    <row r="41" spans="1:58" ht="51.6" customHeight="1">
      <c r="A41" s="112" t="s">
        <v>128</v>
      </c>
      <c r="B41" s="29" t="s">
        <v>129</v>
      </c>
      <c r="C41" s="42" t="s">
        <v>130</v>
      </c>
      <c r="D41" s="135"/>
      <c r="E41" s="135"/>
      <c r="F41" s="141" t="s">
        <v>19</v>
      </c>
      <c r="G41" s="135"/>
      <c r="H41" s="36"/>
      <c r="I41" s="36"/>
      <c r="J41" s="36">
        <v>0</v>
      </c>
      <c r="K41" s="36"/>
      <c r="L41" s="32">
        <f t="shared" si="0"/>
        <v>0</v>
      </c>
      <c r="M41" s="36"/>
      <c r="N41" s="36"/>
      <c r="O41" s="36"/>
      <c r="P41" s="36"/>
      <c r="Q41" s="32">
        <f t="shared" si="1"/>
        <v>0</v>
      </c>
      <c r="R41" s="36"/>
      <c r="S41" s="36"/>
      <c r="T41" s="36">
        <v>2</v>
      </c>
      <c r="U41" s="36"/>
      <c r="V41" s="32">
        <f t="shared" si="2"/>
        <v>2</v>
      </c>
      <c r="W41" s="36"/>
      <c r="X41" s="36"/>
      <c r="Y41" s="36">
        <v>1</v>
      </c>
      <c r="Z41" s="36"/>
      <c r="AA41" s="188">
        <f t="shared" si="3"/>
        <v>1</v>
      </c>
      <c r="AB41" s="36"/>
      <c r="AC41" s="36"/>
      <c r="AD41" s="36">
        <v>2</v>
      </c>
      <c r="AE41" s="36"/>
      <c r="AF41" s="32">
        <f t="shared" si="20"/>
        <v>2</v>
      </c>
      <c r="AG41" s="36"/>
      <c r="AH41" s="36"/>
      <c r="AI41" s="36">
        <v>1</v>
      </c>
      <c r="AJ41" s="36"/>
      <c r="AK41" s="188">
        <f t="shared" si="22"/>
        <v>1</v>
      </c>
      <c r="AL41" s="168">
        <f t="shared" si="23"/>
        <v>2</v>
      </c>
      <c r="AM41" s="33">
        <f t="shared" si="24"/>
        <v>1</v>
      </c>
      <c r="AN41" s="169">
        <f t="shared" si="25"/>
        <v>3</v>
      </c>
      <c r="AO41" s="61" t="s">
        <v>131</v>
      </c>
      <c r="AP41" s="116"/>
      <c r="AQ41" s="116"/>
      <c r="AR41" s="116"/>
      <c r="AS41" s="116"/>
      <c r="AT41" s="116"/>
      <c r="AU41" s="116"/>
      <c r="AV41" s="116"/>
      <c r="AW41" s="116"/>
      <c r="AX41" s="116"/>
      <c r="AY41" s="116"/>
      <c r="AZ41" s="116"/>
      <c r="BA41" s="116"/>
      <c r="BB41" s="116"/>
      <c r="BC41" s="116"/>
      <c r="BD41" s="116"/>
      <c r="BE41" s="116"/>
      <c r="BF41" s="116"/>
    </row>
    <row r="42" spans="1:58" ht="51.75" customHeight="1">
      <c r="A42" s="227" t="s">
        <v>132</v>
      </c>
      <c r="B42" s="29" t="s">
        <v>133</v>
      </c>
      <c r="C42" s="38" t="s">
        <v>134</v>
      </c>
      <c r="D42" s="9" t="s">
        <v>17</v>
      </c>
      <c r="E42" s="135"/>
      <c r="F42" s="141" t="s">
        <v>19</v>
      </c>
      <c r="G42" s="142" t="s">
        <v>20</v>
      </c>
      <c r="H42" s="36">
        <v>0</v>
      </c>
      <c r="I42" s="36"/>
      <c r="J42" s="36"/>
      <c r="K42" s="36">
        <v>0</v>
      </c>
      <c r="L42" s="32">
        <f t="shared" si="0"/>
        <v>0</v>
      </c>
      <c r="M42" s="36">
        <v>0</v>
      </c>
      <c r="N42" s="36"/>
      <c r="O42" s="36"/>
      <c r="P42" s="36">
        <v>0</v>
      </c>
      <c r="Q42" s="32">
        <f t="shared" si="1"/>
        <v>0</v>
      </c>
      <c r="R42" s="202">
        <v>6</v>
      </c>
      <c r="S42" s="36"/>
      <c r="T42" s="119"/>
      <c r="U42" s="36">
        <v>10</v>
      </c>
      <c r="V42" s="32">
        <f t="shared" si="2"/>
        <v>16</v>
      </c>
      <c r="W42" s="36">
        <v>3</v>
      </c>
      <c r="X42" s="36"/>
      <c r="Y42" s="36">
        <v>2</v>
      </c>
      <c r="Z42" s="36">
        <v>8</v>
      </c>
      <c r="AA42" s="188">
        <f t="shared" si="3"/>
        <v>13</v>
      </c>
      <c r="AB42" s="267">
        <v>6</v>
      </c>
      <c r="AC42" s="36"/>
      <c r="AD42" s="119"/>
      <c r="AE42" s="36">
        <v>10</v>
      </c>
      <c r="AF42" s="32">
        <f t="shared" si="20"/>
        <v>16</v>
      </c>
      <c r="AG42" s="36">
        <v>3</v>
      </c>
      <c r="AH42" s="36"/>
      <c r="AI42" s="36">
        <v>2</v>
      </c>
      <c r="AJ42" s="36">
        <v>8</v>
      </c>
      <c r="AK42" s="188">
        <f t="shared" si="22"/>
        <v>13</v>
      </c>
      <c r="AL42" s="168">
        <f t="shared" si="23"/>
        <v>16</v>
      </c>
      <c r="AM42" s="33">
        <f t="shared" si="24"/>
        <v>13</v>
      </c>
      <c r="AN42" s="169">
        <f t="shared" si="25"/>
        <v>29</v>
      </c>
      <c r="AO42" s="61" t="s">
        <v>135</v>
      </c>
      <c r="AP42" s="116"/>
      <c r="AQ42" s="116"/>
      <c r="AR42" s="116"/>
      <c r="AS42" s="116"/>
      <c r="AT42" s="116"/>
      <c r="AU42" s="116"/>
      <c r="AV42" s="116"/>
      <c r="AW42" s="116"/>
      <c r="AX42" s="116"/>
      <c r="AY42" s="116"/>
      <c r="AZ42" s="116"/>
      <c r="BA42" s="116"/>
      <c r="BB42" s="116"/>
      <c r="BC42" s="116"/>
      <c r="BD42" s="116"/>
      <c r="BE42" s="116"/>
      <c r="BF42" s="116"/>
    </row>
    <row r="43" spans="1:58" ht="54.6" customHeight="1">
      <c r="A43" s="227"/>
      <c r="B43" s="29" t="s">
        <v>136</v>
      </c>
      <c r="C43" s="38" t="s">
        <v>137</v>
      </c>
      <c r="D43" s="9" t="s">
        <v>17</v>
      </c>
      <c r="E43" s="135"/>
      <c r="F43" s="141" t="s">
        <v>19</v>
      </c>
      <c r="G43" s="142" t="s">
        <v>20</v>
      </c>
      <c r="H43" s="118">
        <v>0</v>
      </c>
      <c r="I43" s="36"/>
      <c r="J43" s="36"/>
      <c r="K43" s="36">
        <v>0</v>
      </c>
      <c r="L43" s="32">
        <f t="shared" si="0"/>
        <v>0</v>
      </c>
      <c r="M43" s="118">
        <v>0</v>
      </c>
      <c r="N43" s="36"/>
      <c r="O43" s="36"/>
      <c r="P43" s="36">
        <v>0</v>
      </c>
      <c r="Q43" s="32">
        <f t="shared" si="1"/>
        <v>0</v>
      </c>
      <c r="R43" s="36">
        <v>6</v>
      </c>
      <c r="S43" s="36"/>
      <c r="T43" s="119"/>
      <c r="U43" s="36">
        <v>10</v>
      </c>
      <c r="V43" s="32">
        <f t="shared" si="2"/>
        <v>16</v>
      </c>
      <c r="W43" s="36">
        <v>3</v>
      </c>
      <c r="X43" s="36"/>
      <c r="Y43" s="36">
        <v>2</v>
      </c>
      <c r="Z43" s="36">
        <v>8</v>
      </c>
      <c r="AA43" s="188">
        <f t="shared" si="3"/>
        <v>13</v>
      </c>
      <c r="AB43" s="36">
        <v>6</v>
      </c>
      <c r="AC43" s="36"/>
      <c r="AD43" s="119"/>
      <c r="AE43" s="36">
        <v>10</v>
      </c>
      <c r="AF43" s="32">
        <f t="shared" si="20"/>
        <v>16</v>
      </c>
      <c r="AG43" s="36">
        <v>3</v>
      </c>
      <c r="AH43" s="36"/>
      <c r="AI43" s="36">
        <v>2</v>
      </c>
      <c r="AJ43" s="36">
        <v>8</v>
      </c>
      <c r="AK43" s="188">
        <f t="shared" si="22"/>
        <v>13</v>
      </c>
      <c r="AL43" s="168">
        <f t="shared" si="23"/>
        <v>16</v>
      </c>
      <c r="AM43" s="33">
        <f t="shared" si="24"/>
        <v>13</v>
      </c>
      <c r="AN43" s="169">
        <f t="shared" si="25"/>
        <v>29</v>
      </c>
      <c r="AO43" s="61" t="s">
        <v>138</v>
      </c>
      <c r="AP43" s="116"/>
      <c r="AQ43" s="116"/>
      <c r="AR43" s="116"/>
      <c r="AS43" s="116"/>
      <c r="AT43" s="116"/>
      <c r="AU43" s="116"/>
      <c r="AV43" s="116"/>
      <c r="AW43" s="116"/>
      <c r="AX43" s="116"/>
      <c r="AY43" s="116"/>
      <c r="AZ43" s="116"/>
      <c r="BA43" s="116"/>
      <c r="BB43" s="116"/>
      <c r="BC43" s="116"/>
      <c r="BD43" s="116"/>
      <c r="BE43" s="116"/>
      <c r="BF43" s="116"/>
    </row>
    <row r="44" spans="1:58" ht="41.4" customHeight="1">
      <c r="A44" s="227"/>
      <c r="B44" s="29" t="s">
        <v>139</v>
      </c>
      <c r="C44" s="38" t="s">
        <v>140</v>
      </c>
      <c r="D44" s="9" t="s">
        <v>17</v>
      </c>
      <c r="E44" s="135"/>
      <c r="F44" s="141" t="s">
        <v>19</v>
      </c>
      <c r="G44" s="142" t="s">
        <v>20</v>
      </c>
      <c r="H44" s="206">
        <v>61</v>
      </c>
      <c r="I44" s="36"/>
      <c r="J44" s="36">
        <v>98</v>
      </c>
      <c r="K44" s="36">
        <v>0</v>
      </c>
      <c r="L44" s="32">
        <f t="shared" si="0"/>
        <v>159</v>
      </c>
      <c r="M44" s="118">
        <v>41</v>
      </c>
      <c r="N44" s="36"/>
      <c r="O44" s="36">
        <v>53</v>
      </c>
      <c r="P44" s="36">
        <v>0</v>
      </c>
      <c r="Q44" s="32">
        <f t="shared" si="1"/>
        <v>94</v>
      </c>
      <c r="R44" s="118">
        <v>0</v>
      </c>
      <c r="S44" s="36"/>
      <c r="T44" s="36">
        <v>0</v>
      </c>
      <c r="U44" s="196">
        <f>75+11</f>
        <v>86</v>
      </c>
      <c r="V44" s="32">
        <f t="shared" si="2"/>
        <v>86</v>
      </c>
      <c r="W44" s="118">
        <v>0</v>
      </c>
      <c r="X44" s="36"/>
      <c r="Y44" s="36"/>
      <c r="Z44" s="36">
        <v>70</v>
      </c>
      <c r="AA44" s="188">
        <f t="shared" si="3"/>
        <v>70</v>
      </c>
      <c r="AB44" s="118">
        <f>R44+H44</f>
        <v>61</v>
      </c>
      <c r="AC44" s="118"/>
      <c r="AD44" s="118">
        <f t="shared" ref="AD44:AE44" si="26">T44+J44</f>
        <v>98</v>
      </c>
      <c r="AE44" s="118">
        <f t="shared" si="26"/>
        <v>86</v>
      </c>
      <c r="AF44" s="32">
        <f t="shared" si="20"/>
        <v>245</v>
      </c>
      <c r="AG44" s="118">
        <f>W44+M44</f>
        <v>41</v>
      </c>
      <c r="AH44" s="118"/>
      <c r="AI44" s="118">
        <f t="shared" ref="AI44:AJ44" si="27">Y44+O44</f>
        <v>53</v>
      </c>
      <c r="AJ44" s="118">
        <f t="shared" si="27"/>
        <v>70</v>
      </c>
      <c r="AK44" s="188">
        <f t="shared" si="22"/>
        <v>164</v>
      </c>
      <c r="AL44" s="168">
        <f t="shared" si="23"/>
        <v>245</v>
      </c>
      <c r="AM44" s="33">
        <f t="shared" si="24"/>
        <v>164</v>
      </c>
      <c r="AN44" s="169">
        <f t="shared" si="25"/>
        <v>409</v>
      </c>
      <c r="AO44" s="61" t="s">
        <v>141</v>
      </c>
      <c r="AP44" s="116"/>
      <c r="AQ44" s="116"/>
      <c r="AR44" s="116"/>
      <c r="AS44" s="116"/>
      <c r="AT44" s="116"/>
      <c r="AU44" s="116"/>
      <c r="AV44" s="116"/>
      <c r="AW44" s="116"/>
      <c r="AX44" s="116"/>
      <c r="AY44" s="116"/>
      <c r="AZ44" s="116"/>
      <c r="BA44" s="116"/>
      <c r="BB44" s="116"/>
      <c r="BC44" s="116"/>
      <c r="BD44" s="116"/>
      <c r="BE44" s="116"/>
      <c r="BF44" s="116"/>
    </row>
    <row r="45" spans="1:58" ht="98.4" customHeight="1">
      <c r="A45" s="227"/>
      <c r="B45" s="29" t="s">
        <v>142</v>
      </c>
      <c r="C45" s="38" t="s">
        <v>143</v>
      </c>
      <c r="D45" s="9" t="s">
        <v>17</v>
      </c>
      <c r="E45" s="135"/>
      <c r="F45" s="141" t="s">
        <v>19</v>
      </c>
      <c r="G45" s="142" t="s">
        <v>20</v>
      </c>
      <c r="H45" s="118">
        <v>0</v>
      </c>
      <c r="I45" s="36"/>
      <c r="J45" s="36">
        <v>0</v>
      </c>
      <c r="K45" s="36">
        <v>0</v>
      </c>
      <c r="L45" s="32">
        <f t="shared" si="0"/>
        <v>0</v>
      </c>
      <c r="M45" s="118">
        <v>0</v>
      </c>
      <c r="N45" s="36"/>
      <c r="O45" s="36">
        <v>0</v>
      </c>
      <c r="P45" s="36">
        <v>0</v>
      </c>
      <c r="Q45" s="32">
        <f t="shared" si="1"/>
        <v>0</v>
      </c>
      <c r="R45" s="206">
        <v>12</v>
      </c>
      <c r="S45" s="36"/>
      <c r="T45" s="36">
        <v>45</v>
      </c>
      <c r="U45" s="36">
        <v>60</v>
      </c>
      <c r="V45" s="32">
        <f t="shared" si="2"/>
        <v>117</v>
      </c>
      <c r="W45" s="118">
        <v>9</v>
      </c>
      <c r="X45" s="36"/>
      <c r="Y45" s="36">
        <v>20</v>
      </c>
      <c r="Z45" s="36">
        <v>38</v>
      </c>
      <c r="AA45" s="188">
        <f t="shared" si="3"/>
        <v>67</v>
      </c>
      <c r="AB45" s="118">
        <f t="shared" ref="AB45:AB46" si="28">R45+H45</f>
        <v>12</v>
      </c>
      <c r="AC45" s="118"/>
      <c r="AD45" s="118">
        <f t="shared" ref="AD45:AD51" si="29">T45+J45</f>
        <v>45</v>
      </c>
      <c r="AE45" s="118">
        <f t="shared" ref="AE45:AE49" si="30">U45+K45</f>
        <v>60</v>
      </c>
      <c r="AF45" s="32">
        <f t="shared" si="20"/>
        <v>117</v>
      </c>
      <c r="AG45" s="118">
        <f t="shared" ref="AG45:AG46" si="31">W45+M45</f>
        <v>9</v>
      </c>
      <c r="AH45" s="118"/>
      <c r="AI45" s="118">
        <f t="shared" ref="AI45:AI51" si="32">Y45+O45</f>
        <v>20</v>
      </c>
      <c r="AJ45" s="118">
        <f t="shared" ref="AJ45:AJ49" si="33">Z45+P45</f>
        <v>38</v>
      </c>
      <c r="AK45" s="188">
        <f t="shared" si="22"/>
        <v>67</v>
      </c>
      <c r="AL45" s="168">
        <f t="shared" si="23"/>
        <v>117</v>
      </c>
      <c r="AM45" s="33">
        <f t="shared" si="24"/>
        <v>67</v>
      </c>
      <c r="AN45" s="169">
        <f t="shared" si="25"/>
        <v>184</v>
      </c>
      <c r="AO45" s="61" t="s">
        <v>144</v>
      </c>
      <c r="AP45" s="116"/>
      <c r="AQ45" s="116"/>
      <c r="AR45" s="116"/>
      <c r="AS45" s="116">
        <v>582</v>
      </c>
      <c r="AT45" s="116"/>
      <c r="AU45" s="116"/>
      <c r="AV45" s="116"/>
      <c r="AW45" s="116"/>
      <c r="AX45" s="116"/>
      <c r="AY45" s="116"/>
      <c r="AZ45" s="116"/>
      <c r="BA45" s="116"/>
      <c r="BB45" s="116"/>
      <c r="BC45" s="116"/>
      <c r="BD45" s="116"/>
      <c r="BE45" s="116"/>
      <c r="BF45" s="116"/>
    </row>
    <row r="46" spans="1:58" ht="67.95" customHeight="1">
      <c r="A46" s="227"/>
      <c r="B46" s="29" t="s">
        <v>145</v>
      </c>
      <c r="C46" s="38" t="s">
        <v>146</v>
      </c>
      <c r="D46" s="9" t="s">
        <v>17</v>
      </c>
      <c r="E46" s="135"/>
      <c r="F46" s="141" t="s">
        <v>19</v>
      </c>
      <c r="G46" s="142" t="s">
        <v>20</v>
      </c>
      <c r="H46" s="36">
        <v>0</v>
      </c>
      <c r="I46" s="36"/>
      <c r="J46" s="36">
        <v>98</v>
      </c>
      <c r="K46" s="36">
        <v>0</v>
      </c>
      <c r="L46" s="32">
        <f t="shared" si="0"/>
        <v>98</v>
      </c>
      <c r="M46" s="36">
        <v>0</v>
      </c>
      <c r="N46" s="36"/>
      <c r="O46" s="36">
        <v>20</v>
      </c>
      <c r="P46" s="36">
        <v>0</v>
      </c>
      <c r="Q46" s="32">
        <f t="shared" si="1"/>
        <v>20</v>
      </c>
      <c r="R46" s="202">
        <v>58</v>
      </c>
      <c r="S46" s="36"/>
      <c r="T46" s="36">
        <v>45</v>
      </c>
      <c r="U46" s="196">
        <f>50+11</f>
        <v>61</v>
      </c>
      <c r="V46" s="32">
        <f t="shared" si="2"/>
        <v>164</v>
      </c>
      <c r="W46" s="36">
        <v>35</v>
      </c>
      <c r="X46" s="36"/>
      <c r="Y46" s="36">
        <v>30</v>
      </c>
      <c r="Z46" s="36">
        <v>25</v>
      </c>
      <c r="AA46" s="188">
        <f t="shared" si="3"/>
        <v>90</v>
      </c>
      <c r="AB46" s="118">
        <f t="shared" si="28"/>
        <v>58</v>
      </c>
      <c r="AC46" s="118"/>
      <c r="AD46" s="118">
        <f t="shared" si="29"/>
        <v>143</v>
      </c>
      <c r="AE46" s="118">
        <f t="shared" si="30"/>
        <v>61</v>
      </c>
      <c r="AF46" s="32">
        <f t="shared" si="20"/>
        <v>262</v>
      </c>
      <c r="AG46" s="118">
        <f t="shared" si="31"/>
        <v>35</v>
      </c>
      <c r="AH46" s="118"/>
      <c r="AI46" s="118">
        <f t="shared" si="32"/>
        <v>50</v>
      </c>
      <c r="AJ46" s="118">
        <f t="shared" si="33"/>
        <v>25</v>
      </c>
      <c r="AK46" s="188">
        <f t="shared" si="22"/>
        <v>110</v>
      </c>
      <c r="AL46" s="168">
        <f t="shared" si="23"/>
        <v>262</v>
      </c>
      <c r="AM46" s="33">
        <f t="shared" si="24"/>
        <v>110</v>
      </c>
      <c r="AN46" s="169">
        <f t="shared" si="25"/>
        <v>372</v>
      </c>
      <c r="AO46" s="61" t="s">
        <v>147</v>
      </c>
      <c r="AP46" s="116"/>
      <c r="AQ46" s="116"/>
      <c r="AR46" s="116"/>
      <c r="AS46" s="116">
        <v>464</v>
      </c>
      <c r="AT46" s="116"/>
      <c r="AU46" s="116"/>
      <c r="AV46" s="116"/>
      <c r="AW46" s="116"/>
      <c r="AX46" s="116"/>
      <c r="AY46" s="116"/>
      <c r="AZ46" s="116"/>
      <c r="BA46" s="116"/>
      <c r="BB46" s="116"/>
      <c r="BC46" s="116"/>
      <c r="BD46" s="116"/>
      <c r="BE46" s="116"/>
      <c r="BF46" s="116"/>
    </row>
    <row r="47" spans="1:58" ht="43.5" customHeight="1">
      <c r="A47" s="226" t="s">
        <v>148</v>
      </c>
      <c r="B47" s="29" t="s">
        <v>133</v>
      </c>
      <c r="C47" s="38" t="s">
        <v>149</v>
      </c>
      <c r="D47" s="135"/>
      <c r="E47" s="135"/>
      <c r="F47" s="135"/>
      <c r="G47" s="142" t="s">
        <v>20</v>
      </c>
      <c r="H47" s="36"/>
      <c r="I47" s="36"/>
      <c r="J47" s="36"/>
      <c r="K47" s="36"/>
      <c r="L47" s="32">
        <f t="shared" si="0"/>
        <v>0</v>
      </c>
      <c r="M47" s="36"/>
      <c r="N47" s="36"/>
      <c r="O47" s="36"/>
      <c r="P47" s="36">
        <v>0</v>
      </c>
      <c r="Q47" s="32">
        <f t="shared" si="1"/>
        <v>0</v>
      </c>
      <c r="R47" s="36"/>
      <c r="S47" s="36"/>
      <c r="T47" s="36"/>
      <c r="U47" s="36">
        <v>20</v>
      </c>
      <c r="V47" s="32">
        <f t="shared" si="2"/>
        <v>20</v>
      </c>
      <c r="W47" s="36"/>
      <c r="X47" s="36"/>
      <c r="Y47" s="36"/>
      <c r="Z47" s="36">
        <v>10</v>
      </c>
      <c r="AA47" s="188">
        <f t="shared" si="3"/>
        <v>10</v>
      </c>
      <c r="AB47" s="118"/>
      <c r="AC47" s="118"/>
      <c r="AD47" s="118"/>
      <c r="AE47" s="118">
        <f t="shared" si="30"/>
        <v>20</v>
      </c>
      <c r="AF47" s="32">
        <f t="shared" si="20"/>
        <v>20</v>
      </c>
      <c r="AG47" s="118"/>
      <c r="AH47" s="118"/>
      <c r="AI47" s="118"/>
      <c r="AJ47" s="118">
        <f t="shared" si="33"/>
        <v>10</v>
      </c>
      <c r="AK47" s="188">
        <f t="shared" si="22"/>
        <v>10</v>
      </c>
      <c r="AL47" s="168">
        <f t="shared" si="23"/>
        <v>20</v>
      </c>
      <c r="AM47" s="33">
        <f t="shared" si="24"/>
        <v>10</v>
      </c>
      <c r="AN47" s="169">
        <f t="shared" si="25"/>
        <v>30</v>
      </c>
      <c r="AO47" s="61" t="s">
        <v>150</v>
      </c>
      <c r="AP47" s="116"/>
      <c r="AQ47" s="116"/>
      <c r="AR47" s="116"/>
      <c r="AS47" s="116"/>
      <c r="AT47" s="116"/>
      <c r="AU47" s="116"/>
      <c r="AV47" s="116"/>
      <c r="AW47" s="116"/>
      <c r="AX47" s="116"/>
      <c r="AY47" s="116"/>
      <c r="AZ47" s="116"/>
      <c r="BA47" s="116"/>
      <c r="BB47" s="116"/>
      <c r="BC47" s="116"/>
      <c r="BD47" s="116"/>
      <c r="BE47" s="116"/>
      <c r="BF47" s="116"/>
    </row>
    <row r="48" spans="1:58" ht="43.5" customHeight="1">
      <c r="A48" s="226"/>
      <c r="B48" s="29" t="s">
        <v>151</v>
      </c>
      <c r="C48" s="38" t="s">
        <v>152</v>
      </c>
      <c r="D48" s="135"/>
      <c r="E48" s="135"/>
      <c r="F48" s="141" t="s">
        <v>19</v>
      </c>
      <c r="G48" s="142" t="s">
        <v>20</v>
      </c>
      <c r="H48" s="36"/>
      <c r="I48" s="36"/>
      <c r="J48" s="36"/>
      <c r="K48" s="36">
        <v>0</v>
      </c>
      <c r="L48" s="32">
        <f t="shared" si="0"/>
        <v>0</v>
      </c>
      <c r="M48" s="36"/>
      <c r="N48" s="36"/>
      <c r="O48" s="36"/>
      <c r="P48" s="36">
        <v>0</v>
      </c>
      <c r="Q48" s="32">
        <f t="shared" si="1"/>
        <v>0</v>
      </c>
      <c r="R48" s="36"/>
      <c r="S48" s="36"/>
      <c r="T48" s="36"/>
      <c r="U48" s="36">
        <f>50+25</f>
        <v>75</v>
      </c>
      <c r="V48" s="32">
        <f t="shared" si="2"/>
        <v>75</v>
      </c>
      <c r="W48" s="36"/>
      <c r="X48" s="36"/>
      <c r="Y48" s="36">
        <v>20</v>
      </c>
      <c r="Z48" s="36">
        <f>30+30</f>
        <v>60</v>
      </c>
      <c r="AA48" s="188">
        <f t="shared" si="3"/>
        <v>80</v>
      </c>
      <c r="AB48" s="118"/>
      <c r="AC48" s="118"/>
      <c r="AD48" s="118"/>
      <c r="AE48" s="118">
        <f t="shared" si="30"/>
        <v>75</v>
      </c>
      <c r="AF48" s="32">
        <f t="shared" si="20"/>
        <v>75</v>
      </c>
      <c r="AG48" s="118"/>
      <c r="AH48" s="118"/>
      <c r="AI48" s="118">
        <f t="shared" si="32"/>
        <v>20</v>
      </c>
      <c r="AJ48" s="118">
        <f t="shared" si="33"/>
        <v>60</v>
      </c>
      <c r="AK48" s="188">
        <f t="shared" si="22"/>
        <v>80</v>
      </c>
      <c r="AL48" s="168">
        <f t="shared" si="23"/>
        <v>75</v>
      </c>
      <c r="AM48" s="33">
        <f t="shared" si="24"/>
        <v>80</v>
      </c>
      <c r="AN48" s="169">
        <f t="shared" si="25"/>
        <v>155</v>
      </c>
      <c r="AO48" s="61" t="s">
        <v>150</v>
      </c>
      <c r="AP48" s="116"/>
      <c r="AQ48" s="116"/>
      <c r="AR48" s="116"/>
      <c r="AS48" s="116"/>
      <c r="AT48" s="116"/>
      <c r="AU48" s="116"/>
      <c r="AV48" s="116"/>
      <c r="AW48" s="116"/>
      <c r="AX48" s="116"/>
      <c r="AY48" s="116"/>
      <c r="AZ48" s="116"/>
      <c r="BA48" s="116"/>
      <c r="BB48" s="116"/>
      <c r="BC48" s="116"/>
      <c r="BD48" s="116"/>
      <c r="BE48" s="116"/>
      <c r="BF48" s="116"/>
    </row>
    <row r="49" spans="1:58" ht="51" customHeight="1">
      <c r="A49" s="226"/>
      <c r="B49" s="29" t="s">
        <v>153</v>
      </c>
      <c r="C49" s="38" t="s">
        <v>154</v>
      </c>
      <c r="D49" s="135"/>
      <c r="E49" s="135"/>
      <c r="F49" s="141" t="s">
        <v>19</v>
      </c>
      <c r="G49" s="142" t="s">
        <v>20</v>
      </c>
      <c r="H49" s="36"/>
      <c r="I49" s="36"/>
      <c r="J49" s="36"/>
      <c r="K49" s="36">
        <v>0</v>
      </c>
      <c r="L49" s="32">
        <f t="shared" si="0"/>
        <v>0</v>
      </c>
      <c r="M49" s="36"/>
      <c r="N49" s="36"/>
      <c r="O49" s="36"/>
      <c r="P49" s="36">
        <v>0</v>
      </c>
      <c r="Q49" s="32">
        <f t="shared" si="1"/>
        <v>0</v>
      </c>
      <c r="R49" s="36"/>
      <c r="S49" s="36"/>
      <c r="T49" s="36"/>
      <c r="U49" s="36">
        <v>60</v>
      </c>
      <c r="V49" s="32">
        <f t="shared" si="2"/>
        <v>60</v>
      </c>
      <c r="W49" s="36"/>
      <c r="X49" s="36"/>
      <c r="Y49" s="36">
        <v>20</v>
      </c>
      <c r="Z49" s="36">
        <v>30</v>
      </c>
      <c r="AA49" s="188">
        <f t="shared" si="3"/>
        <v>50</v>
      </c>
      <c r="AB49" s="118"/>
      <c r="AC49" s="118"/>
      <c r="AD49" s="118"/>
      <c r="AE49" s="118">
        <f t="shared" si="30"/>
        <v>60</v>
      </c>
      <c r="AF49" s="32">
        <f t="shared" si="20"/>
        <v>60</v>
      </c>
      <c r="AG49" s="118"/>
      <c r="AH49" s="118"/>
      <c r="AI49" s="118">
        <f t="shared" si="32"/>
        <v>20</v>
      </c>
      <c r="AJ49" s="118">
        <f t="shared" si="33"/>
        <v>30</v>
      </c>
      <c r="AK49" s="188">
        <f t="shared" si="22"/>
        <v>50</v>
      </c>
      <c r="AL49" s="168">
        <f t="shared" si="23"/>
        <v>60</v>
      </c>
      <c r="AM49" s="33">
        <f t="shared" si="24"/>
        <v>50</v>
      </c>
      <c r="AN49" s="169">
        <f t="shared" si="25"/>
        <v>110</v>
      </c>
      <c r="AO49" s="61" t="s">
        <v>155</v>
      </c>
      <c r="AP49" s="116"/>
      <c r="AQ49" s="116"/>
      <c r="AR49" s="116"/>
      <c r="AS49" s="116"/>
      <c r="AT49" s="116"/>
      <c r="AU49" s="116"/>
      <c r="AV49" s="116"/>
      <c r="AW49" s="116"/>
      <c r="AX49" s="116"/>
      <c r="AY49" s="116"/>
      <c r="AZ49" s="116"/>
      <c r="BA49" s="116"/>
      <c r="BB49" s="116"/>
      <c r="BC49" s="116"/>
      <c r="BD49" s="116"/>
      <c r="BE49" s="116"/>
      <c r="BF49" s="116"/>
    </row>
    <row r="50" spans="1:58" ht="51.6" customHeight="1">
      <c r="A50" s="226"/>
      <c r="B50" s="29" t="s">
        <v>156</v>
      </c>
      <c r="C50" s="38" t="s">
        <v>157</v>
      </c>
      <c r="D50" s="135"/>
      <c r="E50" s="135"/>
      <c r="F50" s="141" t="s">
        <v>19</v>
      </c>
      <c r="G50" s="135"/>
      <c r="H50" s="36"/>
      <c r="I50" s="36"/>
      <c r="J50" s="36"/>
      <c r="K50" s="36"/>
      <c r="L50" s="32">
        <f t="shared" si="0"/>
        <v>0</v>
      </c>
      <c r="M50" s="36"/>
      <c r="N50" s="36"/>
      <c r="O50" s="36"/>
      <c r="P50" s="36"/>
      <c r="Q50" s="32">
        <f t="shared" si="1"/>
        <v>0</v>
      </c>
      <c r="R50" s="36"/>
      <c r="S50" s="36"/>
      <c r="T50" s="36">
        <v>2</v>
      </c>
      <c r="U50" s="36"/>
      <c r="V50" s="32">
        <f t="shared" si="2"/>
        <v>2</v>
      </c>
      <c r="W50" s="36"/>
      <c r="X50" s="36"/>
      <c r="Y50" s="36">
        <v>1</v>
      </c>
      <c r="Z50" s="36"/>
      <c r="AA50" s="188">
        <f t="shared" si="3"/>
        <v>1</v>
      </c>
      <c r="AB50" s="118"/>
      <c r="AC50" s="118"/>
      <c r="AD50" s="118">
        <f t="shared" si="29"/>
        <v>2</v>
      </c>
      <c r="AE50" s="118"/>
      <c r="AF50" s="32">
        <f t="shared" si="20"/>
        <v>2</v>
      </c>
      <c r="AG50" s="118"/>
      <c r="AH50" s="118"/>
      <c r="AI50" s="118">
        <f t="shared" si="32"/>
        <v>1</v>
      </c>
      <c r="AJ50" s="118"/>
      <c r="AK50" s="188">
        <f t="shared" si="22"/>
        <v>1</v>
      </c>
      <c r="AL50" s="168">
        <f t="shared" si="23"/>
        <v>2</v>
      </c>
      <c r="AM50" s="33">
        <f t="shared" si="24"/>
        <v>1</v>
      </c>
      <c r="AN50" s="169">
        <f t="shared" si="25"/>
        <v>3</v>
      </c>
      <c r="AO50" s="61" t="s">
        <v>158</v>
      </c>
      <c r="AP50" s="116"/>
      <c r="AQ50" s="116"/>
      <c r="AR50" s="116"/>
      <c r="AS50" s="116"/>
      <c r="AT50" s="116"/>
      <c r="AU50" s="116"/>
      <c r="AV50" s="116"/>
      <c r="AW50" s="116"/>
      <c r="AX50" s="116"/>
      <c r="AY50" s="116"/>
      <c r="AZ50" s="116"/>
      <c r="BA50" s="116"/>
      <c r="BB50" s="116"/>
      <c r="BC50" s="116"/>
      <c r="BD50" s="116"/>
      <c r="BE50" s="116"/>
      <c r="BF50" s="116"/>
    </row>
    <row r="51" spans="1:58" ht="40.950000000000003" customHeight="1">
      <c r="A51" s="235"/>
      <c r="B51" s="30" t="s">
        <v>159</v>
      </c>
      <c r="C51" s="99" t="s">
        <v>160</v>
      </c>
      <c r="D51" s="136"/>
      <c r="E51" s="136"/>
      <c r="F51" s="7" t="s">
        <v>19</v>
      </c>
      <c r="G51" s="136"/>
      <c r="H51" s="44"/>
      <c r="I51" s="44"/>
      <c r="J51" s="44"/>
      <c r="K51" s="44"/>
      <c r="L51" s="58">
        <f t="shared" si="0"/>
        <v>0</v>
      </c>
      <c r="M51" s="44"/>
      <c r="N51" s="44"/>
      <c r="O51" s="44"/>
      <c r="P51" s="44"/>
      <c r="Q51" s="58">
        <f t="shared" si="1"/>
        <v>0</v>
      </c>
      <c r="R51" s="44"/>
      <c r="S51" s="44"/>
      <c r="T51" s="44">
        <v>50</v>
      </c>
      <c r="U51" s="44"/>
      <c r="V51" s="58">
        <f t="shared" si="2"/>
        <v>50</v>
      </c>
      <c r="W51" s="44"/>
      <c r="X51" s="44"/>
      <c r="Y51" s="44">
        <v>10</v>
      </c>
      <c r="Z51" s="44"/>
      <c r="AA51" s="190">
        <f t="shared" si="3"/>
        <v>10</v>
      </c>
      <c r="AB51" s="118"/>
      <c r="AC51" s="118"/>
      <c r="AD51" s="118">
        <f t="shared" si="29"/>
        <v>50</v>
      </c>
      <c r="AE51" s="118"/>
      <c r="AF51" s="58">
        <f t="shared" si="20"/>
        <v>50</v>
      </c>
      <c r="AG51" s="118"/>
      <c r="AH51" s="118"/>
      <c r="AI51" s="118">
        <f t="shared" si="32"/>
        <v>10</v>
      </c>
      <c r="AJ51" s="118"/>
      <c r="AK51" s="190">
        <f t="shared" si="22"/>
        <v>10</v>
      </c>
      <c r="AL51" s="172">
        <f t="shared" si="23"/>
        <v>50</v>
      </c>
      <c r="AM51" s="59">
        <f t="shared" si="24"/>
        <v>10</v>
      </c>
      <c r="AN51" s="173">
        <f t="shared" si="25"/>
        <v>60</v>
      </c>
      <c r="AO51" s="61" t="s">
        <v>161</v>
      </c>
      <c r="AP51" s="116"/>
      <c r="AQ51" s="116"/>
      <c r="AR51" s="116"/>
      <c r="AS51" s="116"/>
      <c r="AT51" s="116"/>
      <c r="AU51" s="116"/>
      <c r="AV51" s="116"/>
      <c r="AW51" s="116"/>
      <c r="AX51" s="116"/>
      <c r="AY51" s="116"/>
      <c r="AZ51" s="116"/>
      <c r="BA51" s="116"/>
      <c r="BB51" s="116"/>
      <c r="BC51" s="116"/>
      <c r="BD51" s="116"/>
      <c r="BE51" s="116"/>
      <c r="BF51" s="116"/>
    </row>
    <row r="52" spans="1:58" ht="13.2" customHeight="1">
      <c r="A52" s="228" t="s">
        <v>162</v>
      </c>
      <c r="B52" s="229"/>
      <c r="C52" s="92"/>
      <c r="D52" s="5" t="s">
        <v>17</v>
      </c>
      <c r="E52" s="6" t="s">
        <v>18</v>
      </c>
      <c r="F52" s="7" t="s">
        <v>19</v>
      </c>
      <c r="G52" s="8" t="s">
        <v>20</v>
      </c>
      <c r="H52" s="82"/>
      <c r="I52" s="82"/>
      <c r="J52" s="82"/>
      <c r="K52" s="82"/>
      <c r="L52" s="83"/>
      <c r="M52" s="82"/>
      <c r="N52" s="82"/>
      <c r="O52" s="82"/>
      <c r="P52" s="82"/>
      <c r="Q52" s="83"/>
      <c r="R52" s="82"/>
      <c r="S52" s="82"/>
      <c r="T52" s="82"/>
      <c r="U52" s="82"/>
      <c r="V52" s="83"/>
      <c r="W52" s="82"/>
      <c r="X52" s="82"/>
      <c r="Y52" s="82"/>
      <c r="Z52" s="82"/>
      <c r="AA52" s="82"/>
      <c r="AB52" s="82"/>
      <c r="AC52" s="82"/>
      <c r="AD52" s="82"/>
      <c r="AE52" s="82"/>
      <c r="AF52" s="83"/>
      <c r="AG52" s="82"/>
      <c r="AH52" s="82"/>
      <c r="AI52" s="82"/>
      <c r="AJ52" s="82"/>
      <c r="AK52" s="82"/>
      <c r="AL52" s="174"/>
      <c r="AM52" s="81"/>
      <c r="AN52" s="175"/>
      <c r="AO52" s="68"/>
      <c r="AP52" s="116"/>
      <c r="AQ52" s="116"/>
      <c r="AR52" s="116"/>
      <c r="AS52" s="116"/>
      <c r="AT52" s="116"/>
      <c r="AU52" s="116"/>
      <c r="AV52" s="116"/>
      <c r="AW52" s="116"/>
      <c r="AX52" s="116"/>
      <c r="AY52" s="116"/>
      <c r="AZ52" s="116"/>
      <c r="BA52" s="116"/>
      <c r="BB52" s="116"/>
      <c r="BC52" s="116"/>
      <c r="BD52" s="116"/>
      <c r="BE52" s="116"/>
      <c r="BF52" s="116"/>
    </row>
    <row r="53" spans="1:58" ht="43.5" customHeight="1">
      <c r="A53" s="225" t="s">
        <v>163</v>
      </c>
      <c r="B53" s="86" t="s">
        <v>164</v>
      </c>
      <c r="C53" s="41" t="s">
        <v>165</v>
      </c>
      <c r="D53" s="137" t="s">
        <v>17</v>
      </c>
      <c r="E53" s="138"/>
      <c r="F53" s="138"/>
      <c r="G53" s="140" t="s">
        <v>20</v>
      </c>
      <c r="H53" s="87"/>
      <c r="I53" s="87"/>
      <c r="J53" s="87"/>
      <c r="K53" s="87"/>
      <c r="L53" s="88">
        <f t="shared" si="0"/>
        <v>0</v>
      </c>
      <c r="M53" s="87"/>
      <c r="N53" s="87"/>
      <c r="O53" s="87"/>
      <c r="P53" s="87"/>
      <c r="Q53" s="88">
        <f t="shared" si="1"/>
        <v>0</v>
      </c>
      <c r="R53" s="87"/>
      <c r="S53" s="87"/>
      <c r="T53" s="87"/>
      <c r="U53" s="87"/>
      <c r="V53" s="88">
        <f t="shared" si="2"/>
        <v>0</v>
      </c>
      <c r="W53" s="87"/>
      <c r="X53" s="87"/>
      <c r="Y53" s="87"/>
      <c r="Z53" s="87"/>
      <c r="AA53" s="187">
        <f t="shared" si="3"/>
        <v>0</v>
      </c>
      <c r="AB53" s="87"/>
      <c r="AC53" s="87"/>
      <c r="AD53" s="87"/>
      <c r="AE53" s="87"/>
      <c r="AF53" s="88">
        <f t="shared" ref="AF53:AF62" si="34">SUM(AB53:AE53)</f>
        <v>0</v>
      </c>
      <c r="AG53" s="87"/>
      <c r="AH53" s="87"/>
      <c r="AI53" s="87"/>
      <c r="AJ53" s="87"/>
      <c r="AK53" s="187">
        <f t="shared" ref="AK53:AK55" si="35">SUM(AG53:AJ53)</f>
        <v>0</v>
      </c>
      <c r="AL53" s="165">
        <v>0.8</v>
      </c>
      <c r="AM53" s="165">
        <v>0.8</v>
      </c>
      <c r="AN53" s="165">
        <v>0.8</v>
      </c>
      <c r="AO53" s="91" t="s">
        <v>166</v>
      </c>
      <c r="AP53" s="116"/>
      <c r="AQ53" s="116"/>
      <c r="AR53" s="116"/>
      <c r="AS53" s="116"/>
      <c r="AT53" s="116"/>
      <c r="AU53" s="116"/>
      <c r="AV53" s="116"/>
      <c r="AW53" s="116"/>
      <c r="AX53" s="116"/>
      <c r="AY53" s="116"/>
      <c r="AZ53" s="116"/>
      <c r="BA53" s="116"/>
      <c r="BB53" s="116"/>
      <c r="BC53" s="116"/>
      <c r="BD53" s="116"/>
      <c r="BE53" s="116"/>
      <c r="BF53" s="116"/>
    </row>
    <row r="54" spans="1:58" ht="43.5" customHeight="1">
      <c r="A54" s="231"/>
      <c r="B54" s="29" t="s">
        <v>167</v>
      </c>
      <c r="C54" s="38" t="s">
        <v>168</v>
      </c>
      <c r="D54" s="9" t="s">
        <v>17</v>
      </c>
      <c r="E54" s="135"/>
      <c r="F54" s="135"/>
      <c r="G54" s="142" t="s">
        <v>20</v>
      </c>
      <c r="H54" s="40"/>
      <c r="I54" s="40"/>
      <c r="J54" s="40"/>
      <c r="K54" s="40"/>
      <c r="L54" s="32">
        <f t="shared" si="0"/>
        <v>0</v>
      </c>
      <c r="M54" s="40"/>
      <c r="N54" s="40"/>
      <c r="O54" s="40"/>
      <c r="P54" s="40"/>
      <c r="Q54" s="32">
        <f t="shared" si="1"/>
        <v>0</v>
      </c>
      <c r="R54" s="40"/>
      <c r="S54" s="40"/>
      <c r="T54" s="40"/>
      <c r="U54" s="40"/>
      <c r="V54" s="32">
        <f t="shared" si="2"/>
        <v>0</v>
      </c>
      <c r="W54" s="40"/>
      <c r="X54" s="40"/>
      <c r="Y54" s="40"/>
      <c r="Z54" s="40"/>
      <c r="AA54" s="188">
        <f t="shared" si="3"/>
        <v>0</v>
      </c>
      <c r="AB54" s="40"/>
      <c r="AC54" s="40"/>
      <c r="AD54" s="40"/>
      <c r="AE54" s="40"/>
      <c r="AF54" s="32">
        <f t="shared" si="34"/>
        <v>0</v>
      </c>
      <c r="AG54" s="40"/>
      <c r="AH54" s="40"/>
      <c r="AI54" s="40"/>
      <c r="AJ54" s="40"/>
      <c r="AK54" s="188">
        <f t="shared" si="35"/>
        <v>0</v>
      </c>
      <c r="AL54" s="167">
        <v>0.7</v>
      </c>
      <c r="AM54" s="167">
        <v>0.7</v>
      </c>
      <c r="AN54" s="167">
        <v>0.7</v>
      </c>
      <c r="AO54" s="61" t="s">
        <v>169</v>
      </c>
      <c r="AP54" s="116"/>
      <c r="AQ54" s="116"/>
      <c r="AR54" s="116"/>
      <c r="AS54" s="116"/>
      <c r="AT54" s="116"/>
      <c r="AU54" s="116"/>
      <c r="AV54" s="116"/>
      <c r="AW54" s="116"/>
      <c r="AX54" s="116"/>
      <c r="AY54" s="116"/>
      <c r="AZ54" s="116"/>
      <c r="BA54" s="116"/>
      <c r="BB54" s="116"/>
      <c r="BC54" s="116"/>
      <c r="BD54" s="116"/>
      <c r="BE54" s="116"/>
      <c r="BF54" s="116"/>
    </row>
    <row r="55" spans="1:58" ht="43.5" customHeight="1">
      <c r="A55" s="222" t="s">
        <v>170</v>
      </c>
      <c r="B55" s="43" t="s">
        <v>171</v>
      </c>
      <c r="C55" s="38" t="s">
        <v>172</v>
      </c>
      <c r="D55" s="9" t="s">
        <v>17</v>
      </c>
      <c r="E55" s="135"/>
      <c r="F55" s="135"/>
      <c r="G55" s="142" t="s">
        <v>20</v>
      </c>
      <c r="H55" s="40"/>
      <c r="I55" s="40"/>
      <c r="J55" s="40"/>
      <c r="K55" s="40"/>
      <c r="L55" s="32">
        <f t="shared" si="0"/>
        <v>0</v>
      </c>
      <c r="M55" s="40"/>
      <c r="N55" s="40"/>
      <c r="O55" s="40"/>
      <c r="P55" s="40"/>
      <c r="Q55" s="32">
        <f t="shared" si="1"/>
        <v>0</v>
      </c>
      <c r="R55" s="40"/>
      <c r="S55" s="40"/>
      <c r="T55" s="40"/>
      <c r="U55" s="40"/>
      <c r="V55" s="32">
        <f t="shared" si="2"/>
        <v>0</v>
      </c>
      <c r="W55" s="40"/>
      <c r="X55" s="40"/>
      <c r="Y55" s="40"/>
      <c r="Z55" s="40"/>
      <c r="AA55" s="188">
        <f t="shared" si="3"/>
        <v>0</v>
      </c>
      <c r="AB55" s="40"/>
      <c r="AC55" s="40"/>
      <c r="AD55" s="40"/>
      <c r="AE55" s="40"/>
      <c r="AF55" s="32">
        <f t="shared" si="34"/>
        <v>0</v>
      </c>
      <c r="AG55" s="40"/>
      <c r="AH55" s="40"/>
      <c r="AI55" s="40"/>
      <c r="AJ55" s="40"/>
      <c r="AK55" s="188">
        <f t="shared" si="35"/>
        <v>0</v>
      </c>
      <c r="AL55" s="167">
        <v>0.6</v>
      </c>
      <c r="AM55" s="167">
        <v>0.6</v>
      </c>
      <c r="AN55" s="167">
        <v>0.6</v>
      </c>
      <c r="AO55" s="61" t="s">
        <v>173</v>
      </c>
      <c r="AP55" s="116"/>
      <c r="AQ55" s="116"/>
      <c r="AR55" s="116"/>
      <c r="AS55" s="116"/>
      <c r="AT55" s="116"/>
      <c r="AU55" s="116"/>
      <c r="AV55" s="116"/>
      <c r="AW55" s="116"/>
      <c r="AX55" s="116"/>
      <c r="AY55" s="116"/>
      <c r="AZ55" s="116"/>
      <c r="BA55" s="116"/>
      <c r="BB55" s="116"/>
      <c r="BC55" s="116"/>
      <c r="BD55" s="116"/>
      <c r="BE55" s="116"/>
      <c r="BF55" s="116"/>
    </row>
    <row r="56" spans="1:58" ht="43.5" customHeight="1">
      <c r="A56" s="222"/>
      <c r="B56" s="29" t="s">
        <v>174</v>
      </c>
      <c r="C56" s="38" t="s">
        <v>175</v>
      </c>
      <c r="D56" s="9" t="s">
        <v>17</v>
      </c>
      <c r="E56" s="135"/>
      <c r="F56" s="135"/>
      <c r="G56" s="142" t="s">
        <v>20</v>
      </c>
      <c r="H56" s="40"/>
      <c r="I56" s="40"/>
      <c r="J56" s="40"/>
      <c r="K56" s="40"/>
      <c r="L56" s="32">
        <f t="shared" si="0"/>
        <v>0</v>
      </c>
      <c r="M56" s="40"/>
      <c r="N56" s="40"/>
      <c r="O56" s="40"/>
      <c r="P56" s="40"/>
      <c r="Q56" s="32">
        <f t="shared" si="1"/>
        <v>0</v>
      </c>
      <c r="R56" s="36">
        <f>R59</f>
        <v>1</v>
      </c>
      <c r="S56" s="36"/>
      <c r="T56" s="36"/>
      <c r="U56" s="36">
        <f>U59</f>
        <v>1</v>
      </c>
      <c r="V56" s="32">
        <f t="shared" si="2"/>
        <v>2</v>
      </c>
      <c r="W56" s="40"/>
      <c r="X56" s="40"/>
      <c r="Y56" s="36"/>
      <c r="Z56" s="36">
        <f>Z59</f>
        <v>2</v>
      </c>
      <c r="AA56" s="188">
        <f>SUM(W56:Z56)</f>
        <v>2</v>
      </c>
      <c r="AB56" s="36">
        <f>AB59</f>
        <v>1</v>
      </c>
      <c r="AC56" s="36"/>
      <c r="AD56" s="36"/>
      <c r="AE56" s="36">
        <f>AE59</f>
        <v>1</v>
      </c>
      <c r="AF56" s="32">
        <f t="shared" si="34"/>
        <v>2</v>
      </c>
      <c r="AG56" s="40"/>
      <c r="AH56" s="40"/>
      <c r="AI56" s="36"/>
      <c r="AJ56" s="36">
        <f>AJ59</f>
        <v>2</v>
      </c>
      <c r="AK56" s="188">
        <f>SUM(AG56:AJ56)</f>
        <v>2</v>
      </c>
      <c r="AL56" s="168">
        <f>V56</f>
        <v>2</v>
      </c>
      <c r="AM56" s="33">
        <f>AA56</f>
        <v>2</v>
      </c>
      <c r="AN56" s="169">
        <f>SUM(AL56:AM56)</f>
        <v>4</v>
      </c>
      <c r="AO56" s="61" t="s">
        <v>176</v>
      </c>
      <c r="AP56" s="116"/>
      <c r="AQ56" s="116"/>
      <c r="AR56" s="116"/>
      <c r="AS56" s="116"/>
      <c r="AT56" s="116"/>
      <c r="AU56" s="116"/>
      <c r="AV56" s="116"/>
      <c r="AW56" s="116"/>
      <c r="AX56" s="116"/>
      <c r="AY56" s="116"/>
      <c r="AZ56" s="116"/>
      <c r="BA56" s="116"/>
      <c r="BB56" s="116"/>
      <c r="BC56" s="116"/>
      <c r="BD56" s="116"/>
      <c r="BE56" s="116"/>
      <c r="BF56" s="116"/>
    </row>
    <row r="57" spans="1:58" ht="43.5" customHeight="1">
      <c r="A57" s="222"/>
      <c r="B57" s="29" t="s">
        <v>177</v>
      </c>
      <c r="C57" s="38" t="s">
        <v>178</v>
      </c>
      <c r="D57" s="9" t="s">
        <v>17</v>
      </c>
      <c r="E57" s="135"/>
      <c r="F57" s="135"/>
      <c r="G57" s="142" t="s">
        <v>20</v>
      </c>
      <c r="H57" s="40"/>
      <c r="I57" s="40"/>
      <c r="J57" s="40"/>
      <c r="K57" s="40"/>
      <c r="L57" s="32">
        <f t="shared" si="0"/>
        <v>0</v>
      </c>
      <c r="M57" s="40"/>
      <c r="N57" s="40"/>
      <c r="O57" s="40"/>
      <c r="P57" s="40"/>
      <c r="Q57" s="32">
        <f t="shared" si="1"/>
        <v>0</v>
      </c>
      <c r="R57" s="40"/>
      <c r="S57" s="40"/>
      <c r="T57" s="40"/>
      <c r="U57" s="40"/>
      <c r="V57" s="32">
        <f t="shared" si="2"/>
        <v>0</v>
      </c>
      <c r="W57" s="40"/>
      <c r="X57" s="40"/>
      <c r="Y57" s="40"/>
      <c r="Z57" s="40"/>
      <c r="AA57" s="188">
        <f t="shared" si="3"/>
        <v>0</v>
      </c>
      <c r="AB57" s="40"/>
      <c r="AC57" s="40"/>
      <c r="AD57" s="40"/>
      <c r="AE57" s="40"/>
      <c r="AF57" s="32">
        <f t="shared" si="34"/>
        <v>0</v>
      </c>
      <c r="AG57" s="40"/>
      <c r="AH57" s="40"/>
      <c r="AI57" s="40"/>
      <c r="AJ57" s="40"/>
      <c r="AK57" s="188">
        <f t="shared" ref="AK57:AK62" si="36">SUM(AG57:AJ57)</f>
        <v>0</v>
      </c>
      <c r="AL57" s="167">
        <v>0.8</v>
      </c>
      <c r="AM57" s="167">
        <v>0.8</v>
      </c>
      <c r="AN57" s="167">
        <v>0.8</v>
      </c>
      <c r="AO57" s="61" t="s">
        <v>179</v>
      </c>
      <c r="AP57" s="116"/>
      <c r="AQ57" s="116"/>
      <c r="AR57" s="116"/>
      <c r="AS57" s="116"/>
      <c r="AT57" s="116"/>
      <c r="AU57" s="116"/>
      <c r="AV57" s="116"/>
      <c r="AW57" s="116"/>
      <c r="AX57" s="116"/>
      <c r="AY57" s="116"/>
      <c r="AZ57" s="116"/>
      <c r="BA57" s="116"/>
      <c r="BB57" s="116"/>
      <c r="BC57" s="116"/>
      <c r="BD57" s="116"/>
      <c r="BE57" s="116"/>
      <c r="BF57" s="116"/>
    </row>
    <row r="58" spans="1:58" ht="43.5" customHeight="1">
      <c r="A58" s="222"/>
      <c r="B58" s="29" t="s">
        <v>180</v>
      </c>
      <c r="C58" s="38" t="s">
        <v>181</v>
      </c>
      <c r="D58" s="9" t="s">
        <v>17</v>
      </c>
      <c r="E58" s="135"/>
      <c r="F58" s="135"/>
      <c r="G58" s="142" t="s">
        <v>20</v>
      </c>
      <c r="H58" s="40"/>
      <c r="I58" s="40"/>
      <c r="J58" s="40"/>
      <c r="K58" s="40"/>
      <c r="L58" s="32">
        <f t="shared" si="0"/>
        <v>0</v>
      </c>
      <c r="M58" s="40"/>
      <c r="N58" s="40"/>
      <c r="O58" s="40"/>
      <c r="P58" s="40"/>
      <c r="Q58" s="32">
        <f t="shared" si="1"/>
        <v>0</v>
      </c>
      <c r="R58" s="40"/>
      <c r="S58" s="36"/>
      <c r="T58" s="40"/>
      <c r="U58" s="40"/>
      <c r="V58" s="32">
        <f t="shared" si="2"/>
        <v>0</v>
      </c>
      <c r="W58" s="40"/>
      <c r="X58" s="40"/>
      <c r="Y58" s="40"/>
      <c r="Z58" s="40"/>
      <c r="AA58" s="188">
        <f t="shared" si="3"/>
        <v>0</v>
      </c>
      <c r="AB58" s="40"/>
      <c r="AC58" s="36"/>
      <c r="AD58" s="40"/>
      <c r="AE58" s="40"/>
      <c r="AF58" s="32">
        <f t="shared" si="34"/>
        <v>0</v>
      </c>
      <c r="AG58" s="40"/>
      <c r="AH58" s="40"/>
      <c r="AI58" s="40"/>
      <c r="AJ58" s="40"/>
      <c r="AK58" s="188">
        <f t="shared" si="36"/>
        <v>0</v>
      </c>
      <c r="AL58" s="167">
        <v>0.7</v>
      </c>
      <c r="AM58" s="167">
        <v>0.7</v>
      </c>
      <c r="AN58" s="167">
        <v>0.7</v>
      </c>
      <c r="AO58" s="61" t="s">
        <v>182</v>
      </c>
      <c r="AP58" s="116"/>
      <c r="AQ58" s="116"/>
      <c r="AR58" s="116"/>
      <c r="AS58" s="116"/>
      <c r="AT58" s="116"/>
      <c r="AU58" s="116"/>
      <c r="AV58" s="116"/>
      <c r="AW58" s="116"/>
      <c r="AX58" s="116"/>
      <c r="AY58" s="116"/>
      <c r="AZ58" s="116"/>
      <c r="BA58" s="116"/>
      <c r="BB58" s="116"/>
      <c r="BC58" s="116"/>
      <c r="BD58" s="116"/>
      <c r="BE58" s="116"/>
      <c r="BF58" s="116"/>
    </row>
    <row r="59" spans="1:58" ht="60" customHeight="1">
      <c r="A59" s="74" t="s">
        <v>183</v>
      </c>
      <c r="B59" s="29" t="s">
        <v>184</v>
      </c>
      <c r="C59" s="38" t="s">
        <v>185</v>
      </c>
      <c r="D59" s="9" t="s">
        <v>17</v>
      </c>
      <c r="E59" s="135"/>
      <c r="F59" s="135"/>
      <c r="G59" s="142" t="s">
        <v>20</v>
      </c>
      <c r="H59" s="36">
        <v>0</v>
      </c>
      <c r="I59" s="36"/>
      <c r="J59" s="36"/>
      <c r="K59" s="36"/>
      <c r="L59" s="32">
        <f t="shared" si="0"/>
        <v>0</v>
      </c>
      <c r="M59" s="36"/>
      <c r="N59" s="36"/>
      <c r="O59" s="36"/>
      <c r="P59" s="36"/>
      <c r="Q59" s="32">
        <f t="shared" si="1"/>
        <v>0</v>
      </c>
      <c r="R59" s="36">
        <v>1</v>
      </c>
      <c r="S59" s="36"/>
      <c r="U59" s="36">
        <v>1</v>
      </c>
      <c r="V59" s="32">
        <f t="shared" si="2"/>
        <v>2</v>
      </c>
      <c r="W59" s="36"/>
      <c r="X59" s="36"/>
      <c r="Y59" s="36"/>
      <c r="Z59" s="202">
        <v>2</v>
      </c>
      <c r="AA59" s="188">
        <f t="shared" si="3"/>
        <v>2</v>
      </c>
      <c r="AB59" s="36">
        <v>1</v>
      </c>
      <c r="AC59" s="36"/>
      <c r="AE59" s="36">
        <v>1</v>
      </c>
      <c r="AF59" s="32">
        <f t="shared" si="34"/>
        <v>2</v>
      </c>
      <c r="AG59" s="36"/>
      <c r="AH59" s="36"/>
      <c r="AI59" s="36"/>
      <c r="AJ59" s="267">
        <v>2</v>
      </c>
      <c r="AK59" s="188">
        <f t="shared" si="36"/>
        <v>2</v>
      </c>
      <c r="AL59" s="168">
        <f>V59+L59</f>
        <v>2</v>
      </c>
      <c r="AM59" s="33">
        <f>AA59+Q59</f>
        <v>2</v>
      </c>
      <c r="AN59" s="169">
        <f>SUM(L59,Q59,V59,AA59)</f>
        <v>4</v>
      </c>
      <c r="AO59" s="61" t="s">
        <v>186</v>
      </c>
      <c r="AP59" s="116"/>
      <c r="AQ59" s="116"/>
      <c r="AR59" s="116"/>
      <c r="AS59" s="116"/>
      <c r="AT59" s="116"/>
      <c r="AU59" s="116"/>
      <c r="AV59" s="116"/>
      <c r="AW59" s="116"/>
      <c r="AX59" s="116"/>
      <c r="AY59" s="116"/>
      <c r="AZ59" s="116"/>
      <c r="BA59" s="116"/>
      <c r="BB59" s="116"/>
      <c r="BC59" s="116"/>
      <c r="BD59" s="116"/>
      <c r="BE59" s="116"/>
      <c r="BF59" s="116"/>
    </row>
    <row r="60" spans="1:58" ht="43.5" customHeight="1">
      <c r="A60" s="222" t="s">
        <v>187</v>
      </c>
      <c r="B60" s="29" t="s">
        <v>188</v>
      </c>
      <c r="C60" s="38" t="s">
        <v>189</v>
      </c>
      <c r="D60" s="135"/>
      <c r="E60" s="135"/>
      <c r="F60" s="141" t="s">
        <v>19</v>
      </c>
      <c r="G60" s="142" t="s">
        <v>20</v>
      </c>
      <c r="H60" s="36"/>
      <c r="I60" s="36"/>
      <c r="J60" s="36"/>
      <c r="K60" s="36"/>
      <c r="L60" s="32">
        <f t="shared" si="0"/>
        <v>0</v>
      </c>
      <c r="M60" s="36"/>
      <c r="N60" s="36"/>
      <c r="O60" s="36"/>
      <c r="P60" s="36"/>
      <c r="Q60" s="32">
        <f t="shared" si="1"/>
        <v>0</v>
      </c>
      <c r="R60" s="36"/>
      <c r="S60" s="36"/>
      <c r="T60" s="36">
        <f>1</f>
        <v>1</v>
      </c>
      <c r="U60" s="36">
        <f>1+1</f>
        <v>2</v>
      </c>
      <c r="V60" s="32">
        <f t="shared" si="2"/>
        <v>3</v>
      </c>
      <c r="W60" s="36"/>
      <c r="X60" s="36"/>
      <c r="Y60" s="36">
        <v>1</v>
      </c>
      <c r="Z60" s="36">
        <v>1</v>
      </c>
      <c r="AA60" s="188">
        <f t="shared" si="3"/>
        <v>2</v>
      </c>
      <c r="AB60" s="36"/>
      <c r="AC60" s="36"/>
      <c r="AD60" s="36">
        <f>1</f>
        <v>1</v>
      </c>
      <c r="AE60" s="36">
        <f>1+1</f>
        <v>2</v>
      </c>
      <c r="AF60" s="32">
        <f t="shared" si="34"/>
        <v>3</v>
      </c>
      <c r="AG60" s="36"/>
      <c r="AH60" s="36"/>
      <c r="AI60" s="36">
        <v>1</v>
      </c>
      <c r="AJ60" s="36">
        <v>1</v>
      </c>
      <c r="AK60" s="188">
        <f t="shared" si="36"/>
        <v>2</v>
      </c>
      <c r="AL60" s="168">
        <f>V60+L60</f>
        <v>3</v>
      </c>
      <c r="AM60" s="33">
        <f>AA60+Q60</f>
        <v>2</v>
      </c>
      <c r="AN60" s="169">
        <f>SUM(L60,Q60,V60,AA60)</f>
        <v>5</v>
      </c>
      <c r="AO60" s="61" t="s">
        <v>190</v>
      </c>
      <c r="AP60" s="116"/>
      <c r="AQ60" s="116"/>
      <c r="AR60" s="116"/>
      <c r="AS60" s="116"/>
      <c r="AT60" s="116"/>
      <c r="AU60" s="116"/>
      <c r="AV60" s="116"/>
      <c r="AW60" s="116"/>
      <c r="AX60" s="116"/>
      <c r="AY60" s="116"/>
      <c r="AZ60" s="116"/>
      <c r="BA60" s="116"/>
      <c r="BB60" s="116"/>
      <c r="BC60" s="116"/>
      <c r="BD60" s="116"/>
      <c r="BE60" s="116"/>
      <c r="BF60" s="116"/>
    </row>
    <row r="61" spans="1:58" ht="70.95" customHeight="1">
      <c r="A61" s="231"/>
      <c r="B61" s="29" t="s">
        <v>191</v>
      </c>
      <c r="C61" s="38" t="s">
        <v>192</v>
      </c>
      <c r="D61" s="135"/>
      <c r="E61" s="135"/>
      <c r="F61" s="141" t="s">
        <v>19</v>
      </c>
      <c r="G61" s="142" t="s">
        <v>20</v>
      </c>
      <c r="H61" s="36"/>
      <c r="I61" s="36"/>
      <c r="J61" s="36">
        <v>0</v>
      </c>
      <c r="K61" s="36">
        <v>0</v>
      </c>
      <c r="L61" s="32">
        <f t="shared" si="0"/>
        <v>0</v>
      </c>
      <c r="M61" s="36"/>
      <c r="N61" s="36"/>
      <c r="O61" s="36"/>
      <c r="P61" s="36">
        <v>0</v>
      </c>
      <c r="Q61" s="32">
        <f t="shared" si="1"/>
        <v>0</v>
      </c>
      <c r="R61" s="36"/>
      <c r="S61" s="36"/>
      <c r="T61" s="36">
        <v>1</v>
      </c>
      <c r="U61" s="36">
        <v>1</v>
      </c>
      <c r="V61" s="32">
        <f t="shared" si="2"/>
        <v>2</v>
      </c>
      <c r="W61" s="36"/>
      <c r="X61" s="36"/>
      <c r="Y61" s="36">
        <v>1</v>
      </c>
      <c r="Z61" s="36">
        <v>1</v>
      </c>
      <c r="AA61" s="188">
        <f t="shared" si="3"/>
        <v>2</v>
      </c>
      <c r="AB61" s="36"/>
      <c r="AC61" s="36"/>
      <c r="AD61" s="36">
        <v>1</v>
      </c>
      <c r="AE61" s="36">
        <v>1</v>
      </c>
      <c r="AF61" s="32">
        <f t="shared" si="34"/>
        <v>2</v>
      </c>
      <c r="AG61" s="36"/>
      <c r="AH61" s="36"/>
      <c r="AI61" s="36">
        <v>1</v>
      </c>
      <c r="AJ61" s="36">
        <v>1</v>
      </c>
      <c r="AK61" s="188">
        <f t="shared" si="36"/>
        <v>2</v>
      </c>
      <c r="AL61" s="168">
        <f>V61+L61</f>
        <v>2</v>
      </c>
      <c r="AM61" s="33">
        <f>AA61+Q61</f>
        <v>2</v>
      </c>
      <c r="AN61" s="169">
        <v>2</v>
      </c>
      <c r="AO61" s="61" t="s">
        <v>193</v>
      </c>
      <c r="AP61" s="116"/>
      <c r="AQ61" s="116"/>
      <c r="AR61" s="116"/>
      <c r="AS61" s="116"/>
      <c r="AT61" s="116"/>
      <c r="AU61" s="116"/>
      <c r="AV61" s="116"/>
      <c r="AW61" s="116"/>
      <c r="AX61" s="116"/>
      <c r="AY61" s="116"/>
      <c r="AZ61" s="116"/>
      <c r="BA61" s="116"/>
      <c r="BB61" s="116"/>
      <c r="BC61" s="116"/>
      <c r="BD61" s="116"/>
      <c r="BE61" s="116"/>
      <c r="BF61" s="116"/>
    </row>
    <row r="62" spans="1:58" ht="33.6" customHeight="1">
      <c r="A62" s="223"/>
      <c r="B62" s="30" t="s">
        <v>194</v>
      </c>
      <c r="C62" s="99" t="s">
        <v>195</v>
      </c>
      <c r="D62" s="136"/>
      <c r="E62" s="136"/>
      <c r="F62" s="7" t="s">
        <v>19</v>
      </c>
      <c r="G62" s="8" t="s">
        <v>20</v>
      </c>
      <c r="H62" s="44"/>
      <c r="I62" s="44"/>
      <c r="J62" s="44">
        <v>0</v>
      </c>
      <c r="K62" s="44">
        <v>0</v>
      </c>
      <c r="L62" s="58">
        <f t="shared" si="0"/>
        <v>0</v>
      </c>
      <c r="M62" s="100"/>
      <c r="N62" s="100"/>
      <c r="O62" s="100"/>
      <c r="P62" s="44">
        <v>0</v>
      </c>
      <c r="Q62" s="58">
        <f t="shared" si="1"/>
        <v>0</v>
      </c>
      <c r="R62" s="44"/>
      <c r="S62" s="44"/>
      <c r="T62" s="44">
        <f>11</f>
        <v>11</v>
      </c>
      <c r="U62" s="44">
        <f>10+40</f>
        <v>50</v>
      </c>
      <c r="V62" s="58">
        <f t="shared" si="2"/>
        <v>61</v>
      </c>
      <c r="W62" s="100"/>
      <c r="X62" s="44"/>
      <c r="Y62" s="44">
        <v>2</v>
      </c>
      <c r="Z62" s="44">
        <v>4</v>
      </c>
      <c r="AA62" s="190">
        <f t="shared" si="3"/>
        <v>6</v>
      </c>
      <c r="AB62" s="44"/>
      <c r="AC62" s="44"/>
      <c r="AD62" s="44">
        <f>11</f>
        <v>11</v>
      </c>
      <c r="AE62" s="44">
        <f>10+40</f>
        <v>50</v>
      </c>
      <c r="AF62" s="58">
        <f t="shared" si="34"/>
        <v>61</v>
      </c>
      <c r="AG62" s="100"/>
      <c r="AH62" s="44"/>
      <c r="AI62" s="44">
        <v>2</v>
      </c>
      <c r="AJ62" s="44">
        <v>4</v>
      </c>
      <c r="AK62" s="190">
        <f t="shared" si="36"/>
        <v>6</v>
      </c>
      <c r="AL62" s="172">
        <f>V62+L62</f>
        <v>61</v>
      </c>
      <c r="AM62" s="59">
        <f>AA62+Q62</f>
        <v>6</v>
      </c>
      <c r="AN62" s="173">
        <f>SUM(L62,Q62,V62,AA62)</f>
        <v>67</v>
      </c>
      <c r="AO62" s="101" t="s">
        <v>196</v>
      </c>
      <c r="AP62" s="116"/>
      <c r="AQ62" s="116"/>
      <c r="AR62" s="116"/>
      <c r="AS62" s="116"/>
      <c r="AT62" s="116"/>
      <c r="AU62" s="116"/>
      <c r="AV62" s="116"/>
      <c r="AW62" s="116"/>
      <c r="AX62" s="116"/>
      <c r="AY62" s="116"/>
      <c r="AZ62" s="116"/>
      <c r="BA62" s="116"/>
      <c r="BB62" s="116"/>
      <c r="BC62" s="116"/>
      <c r="BD62" s="116"/>
      <c r="BE62" s="116"/>
      <c r="BF62" s="116"/>
    </row>
    <row r="63" spans="1:58" ht="13.2" customHeight="1">
      <c r="A63" s="228" t="s">
        <v>197</v>
      </c>
      <c r="B63" s="229"/>
      <c r="C63" s="92"/>
      <c r="D63" s="5" t="s">
        <v>17</v>
      </c>
      <c r="E63" s="6" t="s">
        <v>18</v>
      </c>
      <c r="F63" s="7" t="s">
        <v>19</v>
      </c>
      <c r="G63" s="8" t="s">
        <v>20</v>
      </c>
      <c r="H63" s="83"/>
      <c r="I63" s="82"/>
      <c r="J63" s="82"/>
      <c r="K63" s="83"/>
      <c r="L63" s="83"/>
      <c r="M63" s="83"/>
      <c r="N63" s="83"/>
      <c r="O63" s="83"/>
      <c r="P63" s="83"/>
      <c r="Q63" s="83"/>
      <c r="R63" s="83"/>
      <c r="S63" s="83"/>
      <c r="T63" s="83"/>
      <c r="U63" s="83"/>
      <c r="V63" s="83"/>
      <c r="W63" s="83"/>
      <c r="X63" s="82"/>
      <c r="Y63" s="82"/>
      <c r="Z63" s="82"/>
      <c r="AA63" s="83"/>
      <c r="AB63" s="83"/>
      <c r="AC63" s="83"/>
      <c r="AD63" s="83"/>
      <c r="AE63" s="83"/>
      <c r="AF63" s="83"/>
      <c r="AG63" s="83"/>
      <c r="AH63" s="82"/>
      <c r="AI63" s="82"/>
      <c r="AJ63" s="82"/>
      <c r="AK63" s="83"/>
      <c r="AL63" s="177"/>
      <c r="AM63" s="83"/>
      <c r="AN63" s="178"/>
      <c r="AO63" s="68"/>
      <c r="AP63" s="116"/>
      <c r="AQ63" s="116"/>
      <c r="AR63" s="116"/>
      <c r="AS63" s="116"/>
      <c r="AT63" s="116"/>
      <c r="AU63" s="116"/>
      <c r="AV63" s="116"/>
      <c r="AW63" s="116"/>
      <c r="AX63" s="116"/>
      <c r="AY63" s="116"/>
      <c r="AZ63" s="116"/>
      <c r="BA63" s="116"/>
      <c r="BB63" s="116"/>
      <c r="BC63" s="116"/>
      <c r="BD63" s="116"/>
      <c r="BE63" s="116"/>
      <c r="BF63" s="116"/>
    </row>
    <row r="64" spans="1:58" ht="43.5" customHeight="1">
      <c r="A64" s="225" t="s">
        <v>198</v>
      </c>
      <c r="B64" s="86" t="s">
        <v>199</v>
      </c>
      <c r="C64" s="41" t="s">
        <v>200</v>
      </c>
      <c r="D64" s="137" t="s">
        <v>17</v>
      </c>
      <c r="E64" s="146" t="s">
        <v>18</v>
      </c>
      <c r="F64" s="139" t="s">
        <v>19</v>
      </c>
      <c r="G64" s="140" t="s">
        <v>20</v>
      </c>
      <c r="H64" s="87"/>
      <c r="I64" s="87"/>
      <c r="J64" s="87"/>
      <c r="K64" s="87"/>
      <c r="L64" s="88">
        <f t="shared" si="0"/>
        <v>0</v>
      </c>
      <c r="M64" s="87"/>
      <c r="N64" s="87"/>
      <c r="O64" s="87"/>
      <c r="P64" s="87"/>
      <c r="Q64" s="88">
        <f t="shared" si="1"/>
        <v>0</v>
      </c>
      <c r="R64" s="87"/>
      <c r="S64" s="87"/>
      <c r="T64" s="87"/>
      <c r="U64" s="87"/>
      <c r="V64" s="88">
        <f t="shared" si="2"/>
        <v>0</v>
      </c>
      <c r="W64" s="87"/>
      <c r="X64" s="87"/>
      <c r="Y64" s="87"/>
      <c r="Z64" s="87"/>
      <c r="AA64" s="187">
        <f t="shared" si="3"/>
        <v>0</v>
      </c>
      <c r="AB64" s="87"/>
      <c r="AC64" s="87"/>
      <c r="AD64" s="87"/>
      <c r="AE64" s="87"/>
      <c r="AF64" s="88">
        <f t="shared" ref="AF64:AF74" si="37">SUM(AB64:AE64)</f>
        <v>0</v>
      </c>
      <c r="AG64" s="87"/>
      <c r="AH64" s="87"/>
      <c r="AI64" s="87"/>
      <c r="AJ64" s="87"/>
      <c r="AK64" s="187">
        <f t="shared" ref="AK64:AK104" si="38">SUM(AG64:AJ64)</f>
        <v>0</v>
      </c>
      <c r="AL64" s="165">
        <v>0.7</v>
      </c>
      <c r="AM64" s="165">
        <v>0.7</v>
      </c>
      <c r="AN64" s="165">
        <v>0.7</v>
      </c>
      <c r="AO64" s="91" t="s">
        <v>201</v>
      </c>
      <c r="AP64" s="116"/>
      <c r="AQ64" s="116"/>
      <c r="AR64" s="116"/>
      <c r="AS64" s="116"/>
      <c r="AT64" s="116"/>
      <c r="AU64" s="116"/>
      <c r="AV64" s="116"/>
      <c r="AW64" s="116"/>
      <c r="AX64" s="116"/>
      <c r="AY64" s="116"/>
      <c r="AZ64" s="116"/>
      <c r="BA64" s="116"/>
      <c r="BB64" s="116"/>
      <c r="BC64" s="116"/>
      <c r="BD64" s="116"/>
      <c r="BE64" s="116"/>
      <c r="BF64" s="116"/>
    </row>
    <row r="65" spans="1:58" ht="43.5" customHeight="1">
      <c r="A65" s="231"/>
      <c r="B65" s="29" t="s">
        <v>202</v>
      </c>
      <c r="C65" s="38" t="s">
        <v>203</v>
      </c>
      <c r="D65" s="9" t="s">
        <v>17</v>
      </c>
      <c r="E65" s="135"/>
      <c r="F65" s="141" t="s">
        <v>19</v>
      </c>
      <c r="G65" s="142" t="s">
        <v>20</v>
      </c>
      <c r="H65" s="40"/>
      <c r="I65" s="40"/>
      <c r="J65" s="40"/>
      <c r="K65" s="40"/>
      <c r="L65" s="32">
        <f t="shared" si="0"/>
        <v>0</v>
      </c>
      <c r="M65" s="40"/>
      <c r="N65" s="40"/>
      <c r="O65" s="40"/>
      <c r="P65" s="40"/>
      <c r="Q65" s="32">
        <f t="shared" si="1"/>
        <v>0</v>
      </c>
      <c r="R65" s="40"/>
      <c r="S65" s="40"/>
      <c r="T65" s="40"/>
      <c r="U65" s="40"/>
      <c r="V65" s="32">
        <f t="shared" si="2"/>
        <v>0</v>
      </c>
      <c r="W65" s="40"/>
      <c r="X65" s="40"/>
      <c r="Y65" s="40"/>
      <c r="Z65" s="40"/>
      <c r="AA65" s="188">
        <f t="shared" si="3"/>
        <v>0</v>
      </c>
      <c r="AB65" s="40"/>
      <c r="AC65" s="40"/>
      <c r="AD65" s="40"/>
      <c r="AE65" s="40"/>
      <c r="AF65" s="32">
        <f t="shared" si="37"/>
        <v>0</v>
      </c>
      <c r="AG65" s="40"/>
      <c r="AH65" s="40"/>
      <c r="AI65" s="40"/>
      <c r="AJ65" s="40"/>
      <c r="AK65" s="188">
        <f t="shared" si="38"/>
        <v>0</v>
      </c>
      <c r="AL65" s="165">
        <v>0.7</v>
      </c>
      <c r="AM65" s="165">
        <v>0.7</v>
      </c>
      <c r="AN65" s="167">
        <v>0.7</v>
      </c>
      <c r="AO65" s="61" t="s">
        <v>204</v>
      </c>
      <c r="AP65" s="116"/>
      <c r="AQ65" s="116"/>
      <c r="AR65" s="116"/>
      <c r="AS65" s="116"/>
      <c r="AT65" s="116"/>
      <c r="AU65" s="116"/>
      <c r="AV65" s="116"/>
      <c r="AW65" s="116"/>
      <c r="AX65" s="116"/>
      <c r="AY65" s="116"/>
      <c r="AZ65" s="116"/>
      <c r="BA65" s="116"/>
      <c r="BB65" s="116"/>
      <c r="BC65" s="116"/>
      <c r="BD65" s="116"/>
      <c r="BE65" s="116"/>
      <c r="BF65" s="116"/>
    </row>
    <row r="66" spans="1:58" ht="43.5" customHeight="1">
      <c r="A66" s="29" t="s">
        <v>205</v>
      </c>
      <c r="B66" s="29" t="s">
        <v>206</v>
      </c>
      <c r="C66" s="38" t="s">
        <v>207</v>
      </c>
      <c r="D66" s="9" t="s">
        <v>17</v>
      </c>
      <c r="E66" s="135"/>
      <c r="F66" s="141" t="s">
        <v>19</v>
      </c>
      <c r="G66" s="135"/>
      <c r="H66" s="117"/>
      <c r="I66" s="117"/>
      <c r="J66" s="117"/>
      <c r="K66" s="40"/>
      <c r="L66" s="32">
        <f t="shared" si="0"/>
        <v>0</v>
      </c>
      <c r="M66" s="40"/>
      <c r="N66" s="40"/>
      <c r="O66" s="40"/>
      <c r="P66" s="40"/>
      <c r="Q66" s="32">
        <f t="shared" si="1"/>
        <v>0</v>
      </c>
      <c r="R66" s="40"/>
      <c r="S66" s="40"/>
      <c r="T66" s="40"/>
      <c r="U66" s="40"/>
      <c r="V66" s="32">
        <f t="shared" si="2"/>
        <v>0</v>
      </c>
      <c r="W66" s="40"/>
      <c r="X66" s="40"/>
      <c r="Y66" s="40"/>
      <c r="Z66" s="40"/>
      <c r="AA66" s="188">
        <f t="shared" si="3"/>
        <v>0</v>
      </c>
      <c r="AB66" s="40"/>
      <c r="AC66" s="40"/>
      <c r="AD66" s="40"/>
      <c r="AE66" s="40"/>
      <c r="AF66" s="32">
        <f t="shared" si="37"/>
        <v>0</v>
      </c>
      <c r="AG66" s="40"/>
      <c r="AH66" s="40"/>
      <c r="AI66" s="40"/>
      <c r="AJ66" s="40"/>
      <c r="AK66" s="188">
        <f t="shared" si="38"/>
        <v>0</v>
      </c>
      <c r="AL66" s="167">
        <v>0.75</v>
      </c>
      <c r="AM66" s="167">
        <v>0.75</v>
      </c>
      <c r="AN66" s="167">
        <v>0.75</v>
      </c>
      <c r="AO66" s="61" t="s">
        <v>208</v>
      </c>
      <c r="AP66" s="116"/>
      <c r="AQ66" s="116"/>
      <c r="AR66" s="116"/>
      <c r="AS66" s="116"/>
      <c r="AT66" s="116"/>
      <c r="AU66" s="116"/>
      <c r="AV66" s="116"/>
      <c r="AW66" s="116"/>
      <c r="AX66" s="116"/>
      <c r="AY66" s="116"/>
      <c r="AZ66" s="116"/>
      <c r="BA66" s="116"/>
      <c r="BB66" s="116"/>
      <c r="BC66" s="116"/>
      <c r="BD66" s="116"/>
      <c r="BE66" s="116"/>
      <c r="BF66" s="116"/>
    </row>
    <row r="67" spans="1:58" ht="78.599999999999994" customHeight="1">
      <c r="A67" s="126" t="s">
        <v>209</v>
      </c>
      <c r="B67" s="29" t="s">
        <v>210</v>
      </c>
      <c r="C67" s="38" t="s">
        <v>211</v>
      </c>
      <c r="D67" s="9" t="s">
        <v>17</v>
      </c>
      <c r="E67" s="135"/>
      <c r="F67" s="141" t="s">
        <v>19</v>
      </c>
      <c r="G67" s="135"/>
      <c r="H67" s="36">
        <v>60</v>
      </c>
      <c r="I67" s="36"/>
      <c r="J67" s="36">
        <v>32</v>
      </c>
      <c r="K67" s="36"/>
      <c r="L67" s="32">
        <f t="shared" ref="L67:L129" si="39">SUM(H67:K67)</f>
        <v>92</v>
      </c>
      <c r="M67" s="36">
        <v>78</v>
      </c>
      <c r="N67" s="36"/>
      <c r="O67" s="36">
        <v>20</v>
      </c>
      <c r="P67" s="36"/>
      <c r="Q67" s="32">
        <f t="shared" ref="Q67:Q129" si="40">SUM(M67:P67)</f>
        <v>98</v>
      </c>
      <c r="R67" s="36">
        <v>30</v>
      </c>
      <c r="S67" s="36"/>
      <c r="T67" s="36">
        <v>8</v>
      </c>
      <c r="U67" s="36"/>
      <c r="V67" s="32">
        <f t="shared" ref="V67:V129" si="41">SUM(R67:U67)</f>
        <v>38</v>
      </c>
      <c r="W67" s="36">
        <v>30</v>
      </c>
      <c r="X67" s="36"/>
      <c r="Y67" s="36">
        <v>18</v>
      </c>
      <c r="Z67" s="36"/>
      <c r="AA67" s="188">
        <f t="shared" ref="AA67:AA129" si="42">SUM(W67:Z67)</f>
        <v>48</v>
      </c>
      <c r="AB67" s="36">
        <f>R67+H67</f>
        <v>90</v>
      </c>
      <c r="AC67" s="36"/>
      <c r="AD67" s="36">
        <f t="shared" ref="AD67" si="43">T67+J67</f>
        <v>40</v>
      </c>
      <c r="AE67" s="36"/>
      <c r="AF67" s="32">
        <f t="shared" si="37"/>
        <v>130</v>
      </c>
      <c r="AG67" s="36">
        <f>W67+M67</f>
        <v>108</v>
      </c>
      <c r="AH67" s="36"/>
      <c r="AI67" s="36">
        <f t="shared" ref="AI67" si="44">Y67+O67</f>
        <v>38</v>
      </c>
      <c r="AJ67" s="36"/>
      <c r="AK67" s="188">
        <f t="shared" si="38"/>
        <v>146</v>
      </c>
      <c r="AL67" s="168">
        <f t="shared" ref="AL67:AL74" si="45">V67+L67</f>
        <v>130</v>
      </c>
      <c r="AM67" s="33">
        <f t="shared" ref="AM67:AM74" si="46">AA67+Q67</f>
        <v>146</v>
      </c>
      <c r="AN67" s="169">
        <f>SUM(L67,Q67,V67,AA67)</f>
        <v>276</v>
      </c>
      <c r="AO67" s="61" t="s">
        <v>212</v>
      </c>
      <c r="AP67" s="116"/>
      <c r="AQ67" s="116"/>
      <c r="AR67" s="116"/>
      <c r="AS67" s="116"/>
      <c r="AT67" s="116"/>
      <c r="AU67" s="116"/>
      <c r="AV67" s="116"/>
      <c r="AW67" s="116"/>
      <c r="AX67" s="116"/>
      <c r="AY67" s="116"/>
      <c r="AZ67" s="116"/>
      <c r="BA67" s="116"/>
      <c r="BB67" s="116"/>
      <c r="BC67" s="116"/>
      <c r="BD67" s="116"/>
      <c r="BE67" s="116"/>
      <c r="BF67" s="116"/>
    </row>
    <row r="68" spans="1:58" ht="84">
      <c r="A68" s="126" t="s">
        <v>213</v>
      </c>
      <c r="B68" s="29" t="s">
        <v>214</v>
      </c>
      <c r="C68" s="38" t="s">
        <v>215</v>
      </c>
      <c r="D68" s="9" t="s">
        <v>17</v>
      </c>
      <c r="E68" s="135"/>
      <c r="F68" s="141" t="s">
        <v>19</v>
      </c>
      <c r="G68" s="135"/>
      <c r="H68" s="36">
        <v>36</v>
      </c>
      <c r="I68" s="36"/>
      <c r="J68" s="36">
        <v>45</v>
      </c>
      <c r="K68" s="36"/>
      <c r="L68" s="32">
        <f t="shared" si="39"/>
        <v>81</v>
      </c>
      <c r="M68" s="36"/>
      <c r="N68" s="36"/>
      <c r="O68" s="36">
        <v>20</v>
      </c>
      <c r="P68" s="36"/>
      <c r="Q68" s="32">
        <f t="shared" si="40"/>
        <v>20</v>
      </c>
      <c r="R68" s="36"/>
      <c r="S68" s="36"/>
      <c r="T68" s="36">
        <v>40</v>
      </c>
      <c r="U68" s="36"/>
      <c r="V68" s="32">
        <f t="shared" si="41"/>
        <v>40</v>
      </c>
      <c r="W68" s="36"/>
      <c r="X68" s="36"/>
      <c r="Y68" s="36">
        <v>0</v>
      </c>
      <c r="Z68" s="36"/>
      <c r="AA68" s="188">
        <f t="shared" si="42"/>
        <v>0</v>
      </c>
      <c r="AB68" s="36">
        <f>R68+H68</f>
        <v>36</v>
      </c>
      <c r="AC68" s="36"/>
      <c r="AD68" s="36">
        <f t="shared" ref="AD68" si="47">T68+J68</f>
        <v>85</v>
      </c>
      <c r="AE68" s="36"/>
      <c r="AF68" s="32">
        <f t="shared" si="37"/>
        <v>121</v>
      </c>
      <c r="AG68" s="36">
        <f>W68+M68</f>
        <v>0</v>
      </c>
      <c r="AH68" s="36"/>
      <c r="AI68" s="36">
        <f t="shared" ref="AI68" si="48">Y68+O68</f>
        <v>20</v>
      </c>
      <c r="AJ68" s="36"/>
      <c r="AK68" s="188">
        <f t="shared" si="38"/>
        <v>20</v>
      </c>
      <c r="AL68" s="168">
        <f t="shared" si="45"/>
        <v>121</v>
      </c>
      <c r="AM68" s="33">
        <f t="shared" si="46"/>
        <v>20</v>
      </c>
      <c r="AN68" s="169">
        <f>SUM(L68,Q68,V68,AA68)</f>
        <v>141</v>
      </c>
      <c r="AO68" s="61" t="s">
        <v>216</v>
      </c>
      <c r="AP68" s="116"/>
      <c r="AQ68" s="116"/>
      <c r="AR68" s="116"/>
      <c r="AS68" s="116"/>
      <c r="AT68" s="116"/>
      <c r="AU68" s="116"/>
      <c r="AV68" s="116"/>
      <c r="AW68" s="116"/>
      <c r="AX68" s="116"/>
      <c r="AY68" s="116"/>
      <c r="AZ68" s="116"/>
      <c r="BA68" s="116"/>
      <c r="BB68" s="116"/>
      <c r="BC68" s="116"/>
      <c r="BD68" s="116"/>
      <c r="BE68" s="116"/>
      <c r="BF68" s="116"/>
    </row>
    <row r="69" spans="1:58" ht="69.75" customHeight="1">
      <c r="A69" s="126" t="s">
        <v>217</v>
      </c>
      <c r="B69" s="29" t="s">
        <v>218</v>
      </c>
      <c r="C69" s="38" t="s">
        <v>219</v>
      </c>
      <c r="D69" s="9" t="s">
        <v>17</v>
      </c>
      <c r="E69" s="135"/>
      <c r="F69" s="141" t="s">
        <v>19</v>
      </c>
      <c r="G69" s="142" t="s">
        <v>20</v>
      </c>
      <c r="H69" s="36"/>
      <c r="I69" s="36"/>
      <c r="J69" s="36"/>
      <c r="K69" s="36"/>
      <c r="L69" s="32">
        <f t="shared" si="39"/>
        <v>0</v>
      </c>
      <c r="M69" s="36"/>
      <c r="N69" s="36"/>
      <c r="O69" s="36"/>
      <c r="P69" s="36"/>
      <c r="Q69" s="32">
        <f t="shared" si="40"/>
        <v>0</v>
      </c>
      <c r="R69" s="36"/>
      <c r="S69" s="36"/>
      <c r="T69" s="36"/>
      <c r="U69" s="36"/>
      <c r="V69" s="32">
        <f t="shared" si="41"/>
        <v>0</v>
      </c>
      <c r="W69" s="36"/>
      <c r="X69" s="36"/>
      <c r="Y69" s="36"/>
      <c r="Z69" s="36"/>
      <c r="AA69" s="188">
        <f t="shared" si="42"/>
        <v>0</v>
      </c>
      <c r="AB69" s="36"/>
      <c r="AC69" s="36"/>
      <c r="AD69" s="36"/>
      <c r="AE69" s="36"/>
      <c r="AF69" s="32">
        <f t="shared" si="37"/>
        <v>0</v>
      </c>
      <c r="AG69" s="36"/>
      <c r="AH69" s="36"/>
      <c r="AI69" s="36"/>
      <c r="AJ69" s="36"/>
      <c r="AK69" s="188">
        <f t="shared" si="38"/>
        <v>0</v>
      </c>
      <c r="AL69" s="168">
        <f t="shared" si="45"/>
        <v>0</v>
      </c>
      <c r="AM69" s="33">
        <f t="shared" si="46"/>
        <v>0</v>
      </c>
      <c r="AN69" s="167">
        <v>0.75</v>
      </c>
      <c r="AO69" s="61" t="s">
        <v>220</v>
      </c>
      <c r="AP69" s="116"/>
      <c r="AQ69" s="116"/>
      <c r="AR69" s="116"/>
      <c r="AS69" s="116"/>
      <c r="AT69" s="116"/>
      <c r="AU69" s="116"/>
      <c r="AV69" s="116"/>
      <c r="AW69" s="116"/>
      <c r="AX69" s="116"/>
      <c r="AY69" s="116"/>
      <c r="AZ69" s="116"/>
      <c r="BA69" s="116"/>
      <c r="BB69" s="116"/>
      <c r="BC69" s="116"/>
      <c r="BD69" s="116"/>
      <c r="BE69" s="116"/>
      <c r="BF69" s="116"/>
    </row>
    <row r="70" spans="1:58" ht="103.2" customHeight="1">
      <c r="A70" s="74" t="s">
        <v>221</v>
      </c>
      <c r="B70" s="29" t="s">
        <v>222</v>
      </c>
      <c r="C70" s="38" t="s">
        <v>223</v>
      </c>
      <c r="D70" s="9" t="s">
        <v>17</v>
      </c>
      <c r="E70" s="135"/>
      <c r="F70" s="141" t="s">
        <v>19</v>
      </c>
      <c r="G70" s="142" t="s">
        <v>20</v>
      </c>
      <c r="H70" s="36">
        <v>1</v>
      </c>
      <c r="I70" s="36"/>
      <c r="J70" s="36"/>
      <c r="K70" s="36">
        <v>1</v>
      </c>
      <c r="L70" s="32">
        <f t="shared" si="39"/>
        <v>2</v>
      </c>
      <c r="M70" s="36"/>
      <c r="N70" s="36"/>
      <c r="O70" s="36">
        <v>1</v>
      </c>
      <c r="P70" s="36">
        <v>0</v>
      </c>
      <c r="Q70" s="32">
        <f t="shared" si="40"/>
        <v>1</v>
      </c>
      <c r="R70" s="36">
        <v>0</v>
      </c>
      <c r="S70" s="36"/>
      <c r="T70" s="36"/>
      <c r="U70" s="36"/>
      <c r="V70" s="32">
        <f t="shared" si="41"/>
        <v>0</v>
      </c>
      <c r="W70" s="36"/>
      <c r="X70" s="36"/>
      <c r="Y70" s="36">
        <v>1</v>
      </c>
      <c r="Z70" s="202">
        <f>2+1</f>
        <v>3</v>
      </c>
      <c r="AA70" s="188">
        <f t="shared" si="42"/>
        <v>4</v>
      </c>
      <c r="AB70" s="36">
        <f t="shared" ref="AB70:AB71" si="49">R70+H70</f>
        <v>1</v>
      </c>
      <c r="AC70" s="36"/>
      <c r="AD70" s="36"/>
      <c r="AE70" s="36">
        <f t="shared" ref="AE70:AE73" si="50">U70+K70</f>
        <v>1</v>
      </c>
      <c r="AF70" s="32">
        <f t="shared" si="37"/>
        <v>2</v>
      </c>
      <c r="AG70" s="36"/>
      <c r="AH70" s="36"/>
      <c r="AI70" s="36">
        <f t="shared" ref="AI70:AI74" si="51">Y70+O70</f>
        <v>2</v>
      </c>
      <c r="AJ70" s="36">
        <f t="shared" ref="AJ70:AJ73" si="52">Z70+P70</f>
        <v>3</v>
      </c>
      <c r="AK70" s="188">
        <f t="shared" si="38"/>
        <v>5</v>
      </c>
      <c r="AL70" s="168">
        <f t="shared" si="45"/>
        <v>2</v>
      </c>
      <c r="AM70" s="33">
        <f t="shared" si="46"/>
        <v>5</v>
      </c>
      <c r="AN70" s="169">
        <f>SUM(L70,Q70,V70,AA70)</f>
        <v>7</v>
      </c>
      <c r="AO70" s="61" t="s">
        <v>224</v>
      </c>
      <c r="AP70" s="116"/>
      <c r="AQ70" s="116"/>
      <c r="AR70" s="116"/>
      <c r="AS70" s="116"/>
      <c r="AT70" s="116"/>
      <c r="AU70" s="116"/>
      <c r="AV70" s="116"/>
      <c r="AW70" s="116"/>
      <c r="AX70" s="116"/>
      <c r="AY70" s="116"/>
      <c r="AZ70" s="116"/>
      <c r="BA70" s="116"/>
      <c r="BB70" s="116"/>
      <c r="BC70" s="116"/>
      <c r="BD70" s="116"/>
      <c r="BE70" s="116"/>
      <c r="BF70" s="116"/>
    </row>
    <row r="71" spans="1:58" ht="88.95" customHeight="1">
      <c r="A71" s="74" t="s">
        <v>225</v>
      </c>
      <c r="B71" s="29" t="s">
        <v>226</v>
      </c>
      <c r="C71" s="38" t="s">
        <v>227</v>
      </c>
      <c r="D71" s="9" t="s">
        <v>17</v>
      </c>
      <c r="E71" s="135"/>
      <c r="F71" s="141" t="s">
        <v>19</v>
      </c>
      <c r="G71" s="142" t="s">
        <v>20</v>
      </c>
      <c r="H71" s="36">
        <v>1</v>
      </c>
      <c r="I71" s="36"/>
      <c r="J71" s="36">
        <v>2</v>
      </c>
      <c r="K71" s="36">
        <v>1</v>
      </c>
      <c r="L71" s="32">
        <f t="shared" si="39"/>
        <v>4</v>
      </c>
      <c r="M71" s="36">
        <v>1</v>
      </c>
      <c r="N71" s="36"/>
      <c r="O71" s="36">
        <v>1</v>
      </c>
      <c r="P71" s="36">
        <v>1</v>
      </c>
      <c r="Q71" s="32">
        <f t="shared" si="40"/>
        <v>3</v>
      </c>
      <c r="R71" s="36">
        <v>1</v>
      </c>
      <c r="S71" s="36"/>
      <c r="T71" s="36">
        <v>1</v>
      </c>
      <c r="U71" s="36"/>
      <c r="V71" s="32">
        <f t="shared" si="41"/>
        <v>2</v>
      </c>
      <c r="W71" s="36">
        <v>1</v>
      </c>
      <c r="X71" s="36"/>
      <c r="Y71" s="36"/>
      <c r="Z71" s="202">
        <v>1</v>
      </c>
      <c r="AA71" s="188">
        <f t="shared" si="42"/>
        <v>2</v>
      </c>
      <c r="AB71" s="36">
        <f t="shared" si="49"/>
        <v>2</v>
      </c>
      <c r="AC71" s="36"/>
      <c r="AD71" s="36">
        <f t="shared" ref="AD71" si="53">T71+J71</f>
        <v>3</v>
      </c>
      <c r="AE71" s="36">
        <f t="shared" si="50"/>
        <v>1</v>
      </c>
      <c r="AF71" s="32">
        <f t="shared" si="37"/>
        <v>6</v>
      </c>
      <c r="AG71" s="36">
        <f t="shared" ref="AG71" si="54">W71+M71</f>
        <v>2</v>
      </c>
      <c r="AH71" s="36"/>
      <c r="AI71" s="36">
        <f t="shared" si="51"/>
        <v>1</v>
      </c>
      <c r="AJ71" s="36">
        <f t="shared" si="52"/>
        <v>2</v>
      </c>
      <c r="AK71" s="188">
        <f t="shared" si="38"/>
        <v>5</v>
      </c>
      <c r="AL71" s="168">
        <f t="shared" si="45"/>
        <v>6</v>
      </c>
      <c r="AM71" s="33">
        <f t="shared" si="46"/>
        <v>5</v>
      </c>
      <c r="AN71" s="169">
        <f>SUM(L71,Q71,V71,AA71)</f>
        <v>11</v>
      </c>
      <c r="AO71" s="61" t="s">
        <v>228</v>
      </c>
      <c r="AP71" s="116"/>
      <c r="AQ71" s="116"/>
      <c r="AR71" s="116"/>
      <c r="AS71" s="116"/>
      <c r="AT71" s="116"/>
      <c r="AU71" s="116"/>
      <c r="AV71" s="116"/>
      <c r="AW71" s="116"/>
      <c r="AX71" s="116"/>
      <c r="AY71" s="116"/>
      <c r="AZ71" s="116"/>
      <c r="BA71" s="116"/>
      <c r="BB71" s="116"/>
      <c r="BC71" s="116"/>
      <c r="BD71" s="116"/>
      <c r="BE71" s="116"/>
      <c r="BF71" s="116"/>
    </row>
    <row r="72" spans="1:58" ht="52.2" customHeight="1">
      <c r="A72" s="227" t="s">
        <v>229</v>
      </c>
      <c r="B72" s="80" t="s">
        <v>230</v>
      </c>
      <c r="C72" s="38" t="s">
        <v>231</v>
      </c>
      <c r="D72" s="135"/>
      <c r="E72" s="135"/>
      <c r="F72" s="135"/>
      <c r="G72" s="142" t="s">
        <v>20</v>
      </c>
      <c r="H72" s="47"/>
      <c r="I72" s="47"/>
      <c r="J72" s="47"/>
      <c r="K72" s="47"/>
      <c r="L72" s="32">
        <f t="shared" si="39"/>
        <v>0</v>
      </c>
      <c r="M72" s="47"/>
      <c r="N72" s="47"/>
      <c r="O72" s="47"/>
      <c r="P72" s="47"/>
      <c r="Q72" s="32">
        <f t="shared" si="40"/>
        <v>0</v>
      </c>
      <c r="R72" s="47"/>
      <c r="S72" s="47"/>
      <c r="T72" s="47"/>
      <c r="U72" s="47"/>
      <c r="V72" s="32">
        <f t="shared" si="41"/>
        <v>0</v>
      </c>
      <c r="W72" s="47"/>
      <c r="X72" s="47"/>
      <c r="Y72" s="47"/>
      <c r="Z72" s="47"/>
      <c r="AA72" s="188">
        <f t="shared" si="42"/>
        <v>0</v>
      </c>
      <c r="AB72" s="36"/>
      <c r="AC72" s="36"/>
      <c r="AD72" s="36"/>
      <c r="AE72" s="36"/>
      <c r="AF72" s="32">
        <f t="shared" si="37"/>
        <v>0</v>
      </c>
      <c r="AG72" s="36"/>
      <c r="AH72" s="36"/>
      <c r="AI72" s="36"/>
      <c r="AJ72" s="36"/>
      <c r="AK72" s="188">
        <f t="shared" si="38"/>
        <v>0</v>
      </c>
      <c r="AL72" s="168">
        <f t="shared" si="45"/>
        <v>0</v>
      </c>
      <c r="AM72" s="33">
        <f t="shared" si="46"/>
        <v>0</v>
      </c>
      <c r="AN72" s="167">
        <v>0.75</v>
      </c>
      <c r="AO72" s="62" t="s">
        <v>232</v>
      </c>
      <c r="AP72" s="116"/>
      <c r="AQ72" s="116"/>
      <c r="AR72" s="116"/>
      <c r="AS72" s="116"/>
      <c r="AT72" s="116"/>
      <c r="AU72" s="116"/>
      <c r="AV72" s="116"/>
      <c r="AW72" s="116"/>
      <c r="AX72" s="116"/>
      <c r="AY72" s="116"/>
      <c r="AZ72" s="116"/>
      <c r="BA72" s="116"/>
      <c r="BB72" s="116"/>
      <c r="BC72" s="116"/>
      <c r="BD72" s="116"/>
      <c r="BE72" s="116"/>
      <c r="BF72" s="116"/>
    </row>
    <row r="73" spans="1:58" ht="63" customHeight="1">
      <c r="A73" s="227"/>
      <c r="B73" s="80" t="s">
        <v>233</v>
      </c>
      <c r="C73" s="38" t="s">
        <v>234</v>
      </c>
      <c r="D73" s="135"/>
      <c r="E73" s="135"/>
      <c r="F73" s="135"/>
      <c r="G73" s="142" t="s">
        <v>20</v>
      </c>
      <c r="H73" s="36"/>
      <c r="I73" s="36"/>
      <c r="J73" s="36"/>
      <c r="K73" s="36">
        <v>1000</v>
      </c>
      <c r="L73" s="32">
        <f t="shared" si="39"/>
        <v>1000</v>
      </c>
      <c r="M73" s="36"/>
      <c r="N73" s="36"/>
      <c r="O73" s="36"/>
      <c r="P73" s="36">
        <v>1000</v>
      </c>
      <c r="Q73" s="32">
        <f t="shared" si="40"/>
        <v>1000</v>
      </c>
      <c r="R73" s="36"/>
      <c r="S73" s="36"/>
      <c r="T73" s="36"/>
      <c r="U73" s="36">
        <v>1000</v>
      </c>
      <c r="V73" s="32">
        <f t="shared" si="41"/>
        <v>1000</v>
      </c>
      <c r="W73" s="36"/>
      <c r="X73" s="36"/>
      <c r="Y73" s="36"/>
      <c r="Z73" s="36">
        <v>1000</v>
      </c>
      <c r="AA73" s="188">
        <f t="shared" si="42"/>
        <v>1000</v>
      </c>
      <c r="AB73" s="36"/>
      <c r="AC73" s="36"/>
      <c r="AD73" s="36"/>
      <c r="AE73" s="36">
        <f t="shared" si="50"/>
        <v>2000</v>
      </c>
      <c r="AF73" s="32">
        <f t="shared" si="37"/>
        <v>2000</v>
      </c>
      <c r="AG73" s="36"/>
      <c r="AH73" s="36"/>
      <c r="AI73" s="36"/>
      <c r="AJ73" s="36">
        <f t="shared" si="52"/>
        <v>2000</v>
      </c>
      <c r="AK73" s="188">
        <f t="shared" si="38"/>
        <v>2000</v>
      </c>
      <c r="AL73" s="168">
        <f t="shared" si="45"/>
        <v>2000</v>
      </c>
      <c r="AM73" s="33">
        <f t="shared" si="46"/>
        <v>2000</v>
      </c>
      <c r="AN73" s="169">
        <f>SUM(L73,Q73,V73,AA73)</f>
        <v>4000</v>
      </c>
      <c r="AO73" s="62" t="s">
        <v>235</v>
      </c>
      <c r="AP73" s="116"/>
      <c r="AQ73" s="116"/>
      <c r="AR73" s="116"/>
      <c r="AS73" s="116"/>
      <c r="AT73" s="116"/>
      <c r="AU73" s="116"/>
      <c r="AV73" s="116"/>
      <c r="AW73" s="116"/>
      <c r="AX73" s="116"/>
      <c r="AY73" s="116"/>
      <c r="AZ73" s="116"/>
      <c r="BA73" s="116"/>
      <c r="BB73" s="116"/>
      <c r="BC73" s="116"/>
      <c r="BD73" s="116"/>
      <c r="BE73" s="116"/>
      <c r="BF73" s="116"/>
    </row>
    <row r="74" spans="1:58" ht="53.4" customHeight="1">
      <c r="A74" s="74" t="s">
        <v>236</v>
      </c>
      <c r="B74" s="29" t="s">
        <v>237</v>
      </c>
      <c r="C74" s="38" t="s">
        <v>238</v>
      </c>
      <c r="D74" s="135"/>
      <c r="E74" s="135"/>
      <c r="F74" s="141" t="s">
        <v>19</v>
      </c>
      <c r="G74" s="135"/>
      <c r="H74" s="36"/>
      <c r="I74" s="36"/>
      <c r="J74" s="36"/>
      <c r="K74" s="36"/>
      <c r="L74" s="32">
        <f t="shared" si="39"/>
        <v>0</v>
      </c>
      <c r="M74" s="36"/>
      <c r="N74" s="36"/>
      <c r="O74" s="36">
        <v>2</v>
      </c>
      <c r="P74" s="36"/>
      <c r="Q74" s="32">
        <f t="shared" si="40"/>
        <v>2</v>
      </c>
      <c r="R74" s="36"/>
      <c r="S74" s="36"/>
      <c r="T74" s="36"/>
      <c r="U74" s="36"/>
      <c r="V74" s="32">
        <f t="shared" si="41"/>
        <v>0</v>
      </c>
      <c r="W74" s="36"/>
      <c r="X74" s="36"/>
      <c r="Y74" s="208"/>
      <c r="Z74" s="36"/>
      <c r="AA74" s="188">
        <f t="shared" si="42"/>
        <v>0</v>
      </c>
      <c r="AB74" s="36"/>
      <c r="AC74" s="36"/>
      <c r="AD74" s="36"/>
      <c r="AE74" s="36"/>
      <c r="AF74" s="32">
        <f t="shared" si="37"/>
        <v>0</v>
      </c>
      <c r="AG74" s="36"/>
      <c r="AH74" s="36"/>
      <c r="AI74" s="36">
        <f t="shared" si="51"/>
        <v>2</v>
      </c>
      <c r="AJ74" s="36"/>
      <c r="AK74" s="188">
        <f t="shared" si="38"/>
        <v>2</v>
      </c>
      <c r="AL74" s="168">
        <f t="shared" si="45"/>
        <v>0</v>
      </c>
      <c r="AM74" s="33">
        <f t="shared" si="46"/>
        <v>2</v>
      </c>
      <c r="AN74" s="169">
        <f>SUM(L74,Q74,V74,AA74)</f>
        <v>2</v>
      </c>
      <c r="AO74" s="61" t="s">
        <v>239</v>
      </c>
      <c r="AP74" s="116"/>
      <c r="AQ74" s="116"/>
      <c r="AR74" s="116"/>
      <c r="AS74" s="116"/>
      <c r="AT74" s="116"/>
      <c r="AU74" s="116"/>
      <c r="AV74" s="116"/>
      <c r="AW74" s="116"/>
      <c r="AX74" s="116"/>
      <c r="AY74" s="116"/>
      <c r="AZ74" s="116"/>
      <c r="BA74" s="116"/>
      <c r="BB74" s="116"/>
      <c r="BC74" s="116"/>
      <c r="BD74" s="116"/>
      <c r="BE74" s="116"/>
      <c r="BF74" s="116"/>
    </row>
    <row r="75" spans="1:58" ht="43.5" customHeight="1">
      <c r="A75" s="227" t="s">
        <v>240</v>
      </c>
      <c r="B75" s="29" t="s">
        <v>241</v>
      </c>
      <c r="C75" s="38" t="s">
        <v>242</v>
      </c>
      <c r="D75" s="135"/>
      <c r="E75" s="135"/>
      <c r="F75" s="141" t="s">
        <v>19</v>
      </c>
      <c r="G75" s="147"/>
      <c r="H75" s="48"/>
      <c r="I75" s="48"/>
      <c r="J75" s="48">
        <v>0.5</v>
      </c>
      <c r="K75" s="48"/>
      <c r="L75" s="49">
        <f t="shared" si="39"/>
        <v>0.5</v>
      </c>
      <c r="M75" s="48"/>
      <c r="N75" s="48"/>
      <c r="O75" s="48">
        <v>0.5</v>
      </c>
      <c r="P75" s="48"/>
      <c r="Q75" s="49">
        <f t="shared" si="40"/>
        <v>0.5</v>
      </c>
      <c r="R75" s="48"/>
      <c r="S75" s="48"/>
      <c r="T75" s="48">
        <v>0.5</v>
      </c>
      <c r="U75" s="48"/>
      <c r="V75" s="49">
        <v>0.5</v>
      </c>
      <c r="W75" s="48"/>
      <c r="X75" s="48"/>
      <c r="Y75" s="48">
        <v>0.5</v>
      </c>
      <c r="Z75" s="48"/>
      <c r="AA75" s="191">
        <f t="shared" si="42"/>
        <v>0.5</v>
      </c>
      <c r="AB75" s="48"/>
      <c r="AC75" s="48"/>
      <c r="AD75" s="48">
        <v>0.5</v>
      </c>
      <c r="AE75" s="48"/>
      <c r="AF75" s="49">
        <v>0.5</v>
      </c>
      <c r="AG75" s="48"/>
      <c r="AH75" s="48"/>
      <c r="AI75" s="48">
        <v>0.5</v>
      </c>
      <c r="AJ75" s="48"/>
      <c r="AK75" s="191">
        <f t="shared" si="38"/>
        <v>0.5</v>
      </c>
      <c r="AL75" s="166">
        <v>0.5</v>
      </c>
      <c r="AM75" s="34">
        <v>0.5</v>
      </c>
      <c r="AN75" s="167">
        <v>0.5</v>
      </c>
      <c r="AO75" s="61" t="s">
        <v>243</v>
      </c>
      <c r="AP75" s="116"/>
      <c r="AQ75" s="116"/>
      <c r="AR75" s="116"/>
      <c r="AS75" s="116"/>
      <c r="AT75" s="116"/>
      <c r="AU75" s="116"/>
      <c r="AV75" s="116"/>
      <c r="AW75" s="116"/>
      <c r="AX75" s="116"/>
      <c r="AY75" s="116"/>
      <c r="AZ75" s="116"/>
      <c r="BA75" s="116"/>
      <c r="BB75" s="116"/>
      <c r="BC75" s="116"/>
      <c r="BD75" s="116"/>
      <c r="BE75" s="116"/>
      <c r="BF75" s="116"/>
    </row>
    <row r="76" spans="1:58" ht="43.5" customHeight="1">
      <c r="A76" s="226"/>
      <c r="B76" s="29" t="s">
        <v>244</v>
      </c>
      <c r="C76" s="38" t="s">
        <v>245</v>
      </c>
      <c r="D76" s="135"/>
      <c r="E76" s="135"/>
      <c r="F76" s="141" t="s">
        <v>19</v>
      </c>
      <c r="G76" s="135"/>
      <c r="H76" s="36"/>
      <c r="I76" s="36"/>
      <c r="J76" s="48">
        <v>0.8</v>
      </c>
      <c r="K76" s="48"/>
      <c r="L76" s="49">
        <f t="shared" si="39"/>
        <v>0.8</v>
      </c>
      <c r="M76" s="48"/>
      <c r="N76" s="48"/>
      <c r="O76" s="48">
        <v>0.8</v>
      </c>
      <c r="P76" s="48"/>
      <c r="Q76" s="49">
        <f t="shared" si="40"/>
        <v>0.8</v>
      </c>
      <c r="R76" s="48"/>
      <c r="S76" s="48"/>
      <c r="T76" s="48">
        <v>0.8</v>
      </c>
      <c r="U76" s="48"/>
      <c r="V76" s="49">
        <f t="shared" si="41"/>
        <v>0.8</v>
      </c>
      <c r="W76" s="48"/>
      <c r="X76" s="48"/>
      <c r="Y76" s="48">
        <v>0.8</v>
      </c>
      <c r="Z76" s="48"/>
      <c r="AA76" s="191">
        <f t="shared" si="42"/>
        <v>0.8</v>
      </c>
      <c r="AB76" s="48"/>
      <c r="AC76" s="48"/>
      <c r="AD76" s="48">
        <v>0.8</v>
      </c>
      <c r="AE76" s="48"/>
      <c r="AF76" s="49">
        <f t="shared" ref="AF76:AF99" si="55">SUM(AB76:AE76)</f>
        <v>0.8</v>
      </c>
      <c r="AG76" s="48"/>
      <c r="AH76" s="48"/>
      <c r="AI76" s="48">
        <v>0.8</v>
      </c>
      <c r="AJ76" s="48"/>
      <c r="AK76" s="191">
        <f t="shared" si="38"/>
        <v>0.8</v>
      </c>
      <c r="AL76" s="166">
        <v>0.8</v>
      </c>
      <c r="AM76" s="34">
        <v>0.8</v>
      </c>
      <c r="AN76" s="167">
        <v>0.8</v>
      </c>
      <c r="AO76" s="61" t="s">
        <v>246</v>
      </c>
      <c r="AP76" s="116"/>
      <c r="AQ76" s="116"/>
      <c r="AR76" s="116"/>
      <c r="AS76" s="116"/>
      <c r="AT76" s="116"/>
      <c r="AU76" s="116"/>
      <c r="AV76" s="116"/>
      <c r="AW76" s="116"/>
      <c r="AX76" s="116"/>
      <c r="AY76" s="116"/>
      <c r="AZ76" s="116"/>
      <c r="BA76" s="116"/>
      <c r="BB76" s="116"/>
      <c r="BC76" s="116"/>
      <c r="BD76" s="116"/>
      <c r="BE76" s="116"/>
      <c r="BF76" s="116"/>
    </row>
    <row r="77" spans="1:58" ht="43.5" customHeight="1">
      <c r="A77" s="226"/>
      <c r="B77" s="29" t="s">
        <v>247</v>
      </c>
      <c r="C77" s="38" t="s">
        <v>248</v>
      </c>
      <c r="D77" s="135"/>
      <c r="E77" s="135"/>
      <c r="F77" s="141" t="s">
        <v>19</v>
      </c>
      <c r="G77" s="135"/>
      <c r="H77" s="36"/>
      <c r="I77" s="36"/>
      <c r="J77" s="151">
        <v>0.8</v>
      </c>
      <c r="K77" s="150"/>
      <c r="L77" s="152">
        <f t="shared" si="39"/>
        <v>0.8</v>
      </c>
      <c r="M77" s="150"/>
      <c r="N77" s="150"/>
      <c r="O77" s="151">
        <v>0.8</v>
      </c>
      <c r="P77" s="150"/>
      <c r="Q77" s="152">
        <f t="shared" si="40"/>
        <v>0.8</v>
      </c>
      <c r="R77" s="150"/>
      <c r="S77" s="150"/>
      <c r="T77" s="151">
        <v>0.8</v>
      </c>
      <c r="U77" s="150"/>
      <c r="V77" s="152">
        <f t="shared" si="41"/>
        <v>0.8</v>
      </c>
      <c r="W77" s="150"/>
      <c r="X77" s="150"/>
      <c r="Y77" s="151">
        <v>0.8</v>
      </c>
      <c r="Z77" s="150"/>
      <c r="AA77" s="192">
        <f t="shared" si="42"/>
        <v>0.8</v>
      </c>
      <c r="AB77" s="150"/>
      <c r="AC77" s="150"/>
      <c r="AD77" s="151">
        <v>0.8</v>
      </c>
      <c r="AE77" s="150"/>
      <c r="AF77" s="152">
        <f t="shared" si="55"/>
        <v>0.8</v>
      </c>
      <c r="AG77" s="150"/>
      <c r="AH77" s="150"/>
      <c r="AI77" s="151">
        <v>0.8</v>
      </c>
      <c r="AJ77" s="150"/>
      <c r="AK77" s="192">
        <f t="shared" si="38"/>
        <v>0.8</v>
      </c>
      <c r="AL77" s="166">
        <v>0.8</v>
      </c>
      <c r="AM77" s="34">
        <v>0.8</v>
      </c>
      <c r="AN77" s="167">
        <v>0.8</v>
      </c>
      <c r="AO77" s="61" t="s">
        <v>249</v>
      </c>
      <c r="AP77" s="116"/>
      <c r="AQ77" s="116"/>
      <c r="AR77" s="116"/>
      <c r="AS77" s="116"/>
      <c r="AT77" s="116"/>
      <c r="AU77" s="116"/>
      <c r="AV77" s="116"/>
      <c r="AW77" s="116"/>
      <c r="AX77" s="116"/>
      <c r="AY77" s="116"/>
      <c r="AZ77" s="116"/>
      <c r="BA77" s="116"/>
      <c r="BB77" s="116"/>
      <c r="BC77" s="116"/>
      <c r="BD77" s="116"/>
      <c r="BE77" s="116"/>
      <c r="BF77" s="116"/>
    </row>
    <row r="78" spans="1:58" ht="43.5" customHeight="1">
      <c r="A78" s="226"/>
      <c r="B78" s="29" t="s">
        <v>250</v>
      </c>
      <c r="C78" s="38" t="s">
        <v>251</v>
      </c>
      <c r="D78" s="135"/>
      <c r="E78" s="135"/>
      <c r="F78" s="141" t="s">
        <v>19</v>
      </c>
      <c r="G78" s="135"/>
      <c r="H78" s="36"/>
      <c r="I78" s="36"/>
      <c r="J78" s="48">
        <v>0.9</v>
      </c>
      <c r="K78" s="48"/>
      <c r="L78" s="49">
        <f t="shared" si="39"/>
        <v>0.9</v>
      </c>
      <c r="M78" s="48"/>
      <c r="N78" s="48"/>
      <c r="O78" s="48">
        <v>0.9</v>
      </c>
      <c r="P78" s="48"/>
      <c r="Q78" s="49">
        <f t="shared" si="40"/>
        <v>0.9</v>
      </c>
      <c r="R78" s="48"/>
      <c r="S78" s="48"/>
      <c r="T78" s="48">
        <v>0.9</v>
      </c>
      <c r="U78" s="48"/>
      <c r="V78" s="49">
        <f t="shared" si="41"/>
        <v>0.9</v>
      </c>
      <c r="W78" s="48"/>
      <c r="X78" s="48"/>
      <c r="Y78" s="48">
        <v>0.9</v>
      </c>
      <c r="Z78" s="48"/>
      <c r="AA78" s="191">
        <f t="shared" si="42"/>
        <v>0.9</v>
      </c>
      <c r="AB78" s="48"/>
      <c r="AC78" s="48"/>
      <c r="AD78" s="48">
        <v>0.9</v>
      </c>
      <c r="AE78" s="48"/>
      <c r="AF78" s="49">
        <f t="shared" si="55"/>
        <v>0.9</v>
      </c>
      <c r="AG78" s="48"/>
      <c r="AH78" s="48"/>
      <c r="AI78" s="48">
        <v>0.9</v>
      </c>
      <c r="AJ78" s="48"/>
      <c r="AK78" s="191">
        <f t="shared" si="38"/>
        <v>0.9</v>
      </c>
      <c r="AL78" s="166">
        <v>0.9</v>
      </c>
      <c r="AM78" s="34">
        <v>0.9</v>
      </c>
      <c r="AN78" s="167">
        <v>0.9</v>
      </c>
      <c r="AO78" s="61" t="s">
        <v>252</v>
      </c>
      <c r="AP78" s="116"/>
      <c r="AQ78" s="116"/>
      <c r="AR78" s="116"/>
      <c r="AS78" s="116"/>
      <c r="AT78" s="116"/>
      <c r="AU78" s="116"/>
      <c r="AV78" s="116"/>
      <c r="AW78" s="116"/>
      <c r="AX78" s="116"/>
      <c r="AY78" s="116"/>
      <c r="AZ78" s="116"/>
      <c r="BA78" s="116"/>
      <c r="BB78" s="116"/>
      <c r="BC78" s="116"/>
      <c r="BD78" s="116"/>
      <c r="BE78" s="116"/>
      <c r="BF78" s="116"/>
    </row>
    <row r="79" spans="1:58" ht="43.5" customHeight="1">
      <c r="A79" s="226"/>
      <c r="B79" s="29" t="s">
        <v>253</v>
      </c>
      <c r="C79" s="38" t="s">
        <v>254</v>
      </c>
      <c r="D79" s="135"/>
      <c r="E79" s="135"/>
      <c r="F79" s="141" t="s">
        <v>19</v>
      </c>
      <c r="G79" s="135"/>
      <c r="H79" s="36"/>
      <c r="I79" s="36"/>
      <c r="J79" s="48">
        <v>0.7</v>
      </c>
      <c r="K79" s="48"/>
      <c r="L79" s="49">
        <f t="shared" ref="L79" si="56">SUM(H79:K79)</f>
        <v>0.7</v>
      </c>
      <c r="M79" s="48"/>
      <c r="N79" s="48"/>
      <c r="O79" s="48">
        <v>0.7</v>
      </c>
      <c r="P79" s="48"/>
      <c r="Q79" s="49">
        <f t="shared" ref="Q79" si="57">SUM(M79:P79)</f>
        <v>0.7</v>
      </c>
      <c r="R79" s="48"/>
      <c r="S79" s="48"/>
      <c r="T79" s="48">
        <v>0.7</v>
      </c>
      <c r="U79" s="48"/>
      <c r="V79" s="49">
        <f t="shared" ref="V79" si="58">SUM(R79:U79)</f>
        <v>0.7</v>
      </c>
      <c r="W79" s="48"/>
      <c r="X79" s="48"/>
      <c r="Y79" s="48">
        <v>0.7</v>
      </c>
      <c r="Z79" s="48"/>
      <c r="AA79" s="191">
        <f t="shared" ref="AA79" si="59">SUM(W79:Z79)</f>
        <v>0.7</v>
      </c>
      <c r="AB79" s="48"/>
      <c r="AC79" s="48"/>
      <c r="AD79" s="48">
        <v>0.7</v>
      </c>
      <c r="AE79" s="48"/>
      <c r="AF79" s="49">
        <f t="shared" si="55"/>
        <v>0.7</v>
      </c>
      <c r="AG79" s="48"/>
      <c r="AH79" s="48"/>
      <c r="AI79" s="48">
        <v>0.7</v>
      </c>
      <c r="AJ79" s="48"/>
      <c r="AK79" s="191">
        <f t="shared" si="38"/>
        <v>0.7</v>
      </c>
      <c r="AL79" s="166">
        <v>0.7</v>
      </c>
      <c r="AM79" s="34">
        <v>0.7</v>
      </c>
      <c r="AN79" s="167">
        <v>0.7</v>
      </c>
      <c r="AO79" s="61" t="s">
        <v>255</v>
      </c>
      <c r="AP79" s="116"/>
      <c r="AQ79" s="116"/>
      <c r="AR79" s="116"/>
      <c r="AS79" s="116"/>
      <c r="AT79" s="116"/>
      <c r="AU79" s="116"/>
      <c r="AV79" s="116"/>
      <c r="AW79" s="116"/>
      <c r="AX79" s="116"/>
      <c r="AY79" s="116"/>
      <c r="AZ79" s="116"/>
      <c r="BA79" s="116"/>
      <c r="BB79" s="116"/>
      <c r="BC79" s="116"/>
      <c r="BD79" s="116"/>
      <c r="BE79" s="116"/>
      <c r="BF79" s="116"/>
    </row>
    <row r="80" spans="1:58" ht="43.5" customHeight="1">
      <c r="A80" s="226"/>
      <c r="B80" s="29" t="s">
        <v>256</v>
      </c>
      <c r="C80" s="38" t="s">
        <v>257</v>
      </c>
      <c r="D80" s="135"/>
      <c r="E80" s="135"/>
      <c r="F80" s="141" t="s">
        <v>19</v>
      </c>
      <c r="G80" s="135"/>
      <c r="H80" s="36"/>
      <c r="I80" s="36"/>
      <c r="J80" s="48">
        <v>0.8</v>
      </c>
      <c r="K80" s="48"/>
      <c r="L80" s="49">
        <f t="shared" si="39"/>
        <v>0.8</v>
      </c>
      <c r="M80" s="48"/>
      <c r="N80" s="48"/>
      <c r="O80" s="48">
        <v>0.8</v>
      </c>
      <c r="P80" s="48"/>
      <c r="Q80" s="49">
        <f t="shared" si="40"/>
        <v>0.8</v>
      </c>
      <c r="R80" s="48"/>
      <c r="S80" s="48"/>
      <c r="T80" s="48">
        <v>0.8</v>
      </c>
      <c r="U80" s="48"/>
      <c r="V80" s="49">
        <f t="shared" si="41"/>
        <v>0.8</v>
      </c>
      <c r="W80" s="48"/>
      <c r="X80" s="36"/>
      <c r="Y80" s="48">
        <v>0.8</v>
      </c>
      <c r="Z80" s="36"/>
      <c r="AA80" s="191">
        <f t="shared" si="42"/>
        <v>0.8</v>
      </c>
      <c r="AB80" s="48"/>
      <c r="AC80" s="48"/>
      <c r="AD80" s="48">
        <v>0.8</v>
      </c>
      <c r="AE80" s="48"/>
      <c r="AF80" s="49">
        <f t="shared" si="55"/>
        <v>0.8</v>
      </c>
      <c r="AG80" s="48"/>
      <c r="AH80" s="36"/>
      <c r="AI80" s="48">
        <v>0.8</v>
      </c>
      <c r="AJ80" s="36"/>
      <c r="AK80" s="191">
        <f t="shared" si="38"/>
        <v>0.8</v>
      </c>
      <c r="AL80" s="166">
        <v>0.8</v>
      </c>
      <c r="AM80" s="34">
        <v>0.8</v>
      </c>
      <c r="AN80" s="167">
        <v>0.8</v>
      </c>
      <c r="AO80" s="61" t="s">
        <v>258</v>
      </c>
      <c r="AP80" s="116"/>
      <c r="AQ80" s="116"/>
      <c r="AR80" s="116"/>
      <c r="AS80" s="116"/>
      <c r="AT80" s="116"/>
      <c r="AU80" s="116"/>
      <c r="AV80" s="116"/>
      <c r="AW80" s="116"/>
      <c r="AX80" s="116"/>
      <c r="AY80" s="116"/>
      <c r="AZ80" s="116"/>
      <c r="BA80" s="116"/>
      <c r="BB80" s="116"/>
      <c r="BC80" s="116"/>
      <c r="BD80" s="116"/>
      <c r="BE80" s="116"/>
      <c r="BF80" s="116"/>
    </row>
    <row r="81" spans="1:58" ht="43.5" customHeight="1">
      <c r="A81" s="226"/>
      <c r="B81" s="29" t="s">
        <v>259</v>
      </c>
      <c r="C81" s="38" t="s">
        <v>260</v>
      </c>
      <c r="D81" s="135"/>
      <c r="E81" s="135"/>
      <c r="F81" s="141" t="s">
        <v>19</v>
      </c>
      <c r="G81" s="135"/>
      <c r="H81" s="36"/>
      <c r="I81" s="36"/>
      <c r="J81" s="48">
        <v>0.8</v>
      </c>
      <c r="K81" s="48"/>
      <c r="L81" s="49">
        <f t="shared" ref="L81" si="60">SUM(H81:K81)</f>
        <v>0.8</v>
      </c>
      <c r="M81" s="48"/>
      <c r="N81" s="48"/>
      <c r="O81" s="48">
        <v>0.8</v>
      </c>
      <c r="P81" s="48"/>
      <c r="Q81" s="49">
        <f t="shared" ref="Q81" si="61">SUM(M81:P81)</f>
        <v>0.8</v>
      </c>
      <c r="R81" s="48"/>
      <c r="S81" s="48"/>
      <c r="T81" s="48">
        <v>0.8</v>
      </c>
      <c r="U81" s="48"/>
      <c r="V81" s="49">
        <f t="shared" ref="V81" si="62">SUM(R81:U81)</f>
        <v>0.8</v>
      </c>
      <c r="W81" s="48"/>
      <c r="X81" s="36"/>
      <c r="Y81" s="48">
        <v>0.8</v>
      </c>
      <c r="Z81" s="36"/>
      <c r="AA81" s="191">
        <f t="shared" ref="AA81" si="63">SUM(W81:Z81)</f>
        <v>0.8</v>
      </c>
      <c r="AB81" s="48"/>
      <c r="AC81" s="48"/>
      <c r="AD81" s="48">
        <v>0.8</v>
      </c>
      <c r="AE81" s="48"/>
      <c r="AF81" s="49">
        <f t="shared" si="55"/>
        <v>0.8</v>
      </c>
      <c r="AG81" s="48"/>
      <c r="AH81" s="36"/>
      <c r="AI81" s="48">
        <v>0.8</v>
      </c>
      <c r="AJ81" s="36"/>
      <c r="AK81" s="191">
        <f t="shared" si="38"/>
        <v>0.8</v>
      </c>
      <c r="AL81" s="166">
        <v>0.8</v>
      </c>
      <c r="AM81" s="34">
        <v>0.8</v>
      </c>
      <c r="AN81" s="167">
        <v>0.8</v>
      </c>
      <c r="AO81" s="61" t="s">
        <v>261</v>
      </c>
      <c r="AP81" s="116"/>
      <c r="AQ81" s="116"/>
      <c r="AR81" s="116"/>
      <c r="AS81" s="116"/>
      <c r="AT81" s="116"/>
      <c r="AU81" s="116"/>
      <c r="AV81" s="116"/>
      <c r="AW81" s="116"/>
      <c r="AX81" s="116"/>
      <c r="AY81" s="116"/>
      <c r="AZ81" s="116"/>
      <c r="BA81" s="116"/>
      <c r="BB81" s="116"/>
      <c r="BC81" s="116"/>
      <c r="BD81" s="116"/>
      <c r="BE81" s="116"/>
      <c r="BF81" s="116"/>
    </row>
    <row r="82" spans="1:58" ht="43.5" customHeight="1">
      <c r="A82" s="227" t="s">
        <v>262</v>
      </c>
      <c r="B82" s="29" t="s">
        <v>263</v>
      </c>
      <c r="C82" s="38" t="s">
        <v>264</v>
      </c>
      <c r="D82" s="135"/>
      <c r="E82" s="135"/>
      <c r="F82" s="141" t="s">
        <v>19</v>
      </c>
      <c r="G82" s="135"/>
      <c r="H82" s="36"/>
      <c r="I82" s="36"/>
      <c r="J82" s="36"/>
      <c r="K82" s="36"/>
      <c r="L82" s="32">
        <f t="shared" si="39"/>
        <v>0</v>
      </c>
      <c r="M82" s="36"/>
      <c r="N82" s="36"/>
      <c r="O82" s="36">
        <v>400</v>
      </c>
      <c r="P82" s="36"/>
      <c r="Q82" s="32">
        <f t="shared" si="40"/>
        <v>400</v>
      </c>
      <c r="R82" s="36"/>
      <c r="S82" s="36"/>
      <c r="T82" s="202">
        <f>350*2</f>
        <v>700</v>
      </c>
      <c r="U82" s="36"/>
      <c r="V82" s="32">
        <f t="shared" si="41"/>
        <v>700</v>
      </c>
      <c r="W82" s="36"/>
      <c r="X82" s="36"/>
      <c r="Y82" s="36">
        <v>400</v>
      </c>
      <c r="Z82" s="36"/>
      <c r="AA82" s="188">
        <f t="shared" si="42"/>
        <v>400</v>
      </c>
      <c r="AB82" s="36"/>
      <c r="AC82" s="36"/>
      <c r="AD82" s="36">
        <f t="shared" ref="AD82:AD95" si="64">T82+J82</f>
        <v>700</v>
      </c>
      <c r="AE82" s="36"/>
      <c r="AF82" s="32">
        <f t="shared" si="55"/>
        <v>700</v>
      </c>
      <c r="AG82" s="36"/>
      <c r="AH82" s="36"/>
      <c r="AI82" s="36">
        <f t="shared" ref="AI82:AI95" si="65">Y82+O82</f>
        <v>800</v>
      </c>
      <c r="AJ82" s="36"/>
      <c r="AK82" s="188">
        <f t="shared" si="38"/>
        <v>800</v>
      </c>
      <c r="AL82" s="168">
        <f t="shared" ref="AL82:AL98" si="66">V82+L82</f>
        <v>700</v>
      </c>
      <c r="AM82" s="33">
        <f t="shared" ref="AM82:AM98" si="67">AA82+Q82</f>
        <v>800</v>
      </c>
      <c r="AN82" s="169">
        <f t="shared" ref="AN82:AN95" si="68">SUM(L82,Q82,V82,AA82)</f>
        <v>1500</v>
      </c>
      <c r="AO82" s="61" t="s">
        <v>265</v>
      </c>
      <c r="AP82" s="116"/>
      <c r="AQ82" s="116"/>
      <c r="AR82" s="116"/>
      <c r="AS82" s="116"/>
      <c r="AT82" s="116"/>
      <c r="AU82" s="116"/>
      <c r="AV82" s="116"/>
      <c r="AW82" s="116"/>
      <c r="AX82" s="116"/>
      <c r="AY82" s="116"/>
      <c r="AZ82" s="116"/>
      <c r="BA82" s="116"/>
      <c r="BB82" s="116"/>
      <c r="BC82" s="116"/>
      <c r="BD82" s="116"/>
      <c r="BE82" s="116"/>
      <c r="BF82" s="116"/>
    </row>
    <row r="83" spans="1:58" ht="43.5" customHeight="1">
      <c r="A83" s="227"/>
      <c r="B83" s="29" t="s">
        <v>266</v>
      </c>
      <c r="C83" s="38" t="s">
        <v>267</v>
      </c>
      <c r="D83" s="135"/>
      <c r="E83" s="135"/>
      <c r="F83" s="141" t="s">
        <v>19</v>
      </c>
      <c r="G83" s="135"/>
      <c r="H83" s="36"/>
      <c r="I83" s="36"/>
      <c r="J83" s="36"/>
      <c r="K83" s="36"/>
      <c r="L83" s="32">
        <f t="shared" si="39"/>
        <v>0</v>
      </c>
      <c r="M83" s="36"/>
      <c r="N83" s="36"/>
      <c r="O83" s="36">
        <v>1</v>
      </c>
      <c r="P83" s="36"/>
      <c r="Q83" s="32">
        <f t="shared" si="40"/>
        <v>1</v>
      </c>
      <c r="R83" s="36"/>
      <c r="S83" s="36"/>
      <c r="T83" s="202">
        <v>2</v>
      </c>
      <c r="U83" s="36"/>
      <c r="V83" s="32">
        <f t="shared" si="41"/>
        <v>2</v>
      </c>
      <c r="W83" s="36"/>
      <c r="X83" s="36"/>
      <c r="Y83" s="36">
        <v>1</v>
      </c>
      <c r="Z83" s="36"/>
      <c r="AA83" s="188">
        <f t="shared" si="42"/>
        <v>1</v>
      </c>
      <c r="AB83" s="36"/>
      <c r="AC83" s="36"/>
      <c r="AD83" s="36">
        <f t="shared" si="64"/>
        <v>2</v>
      </c>
      <c r="AE83" s="36"/>
      <c r="AF83" s="32">
        <f t="shared" si="55"/>
        <v>2</v>
      </c>
      <c r="AG83" s="36"/>
      <c r="AH83" s="36"/>
      <c r="AI83" s="36">
        <f t="shared" si="65"/>
        <v>2</v>
      </c>
      <c r="AJ83" s="36"/>
      <c r="AK83" s="188">
        <f t="shared" si="38"/>
        <v>2</v>
      </c>
      <c r="AL83" s="168">
        <f t="shared" si="66"/>
        <v>2</v>
      </c>
      <c r="AM83" s="33">
        <f t="shared" si="67"/>
        <v>2</v>
      </c>
      <c r="AN83" s="169">
        <f t="shared" si="68"/>
        <v>4</v>
      </c>
      <c r="AO83" s="61" t="s">
        <v>268</v>
      </c>
      <c r="AP83" s="116"/>
      <c r="AQ83" s="116"/>
      <c r="AR83" s="116"/>
      <c r="AS83" s="116"/>
      <c r="AT83" s="116"/>
      <c r="AU83" s="116"/>
      <c r="AV83" s="116"/>
      <c r="AW83" s="116"/>
      <c r="AX83" s="116"/>
      <c r="AY83" s="116"/>
      <c r="AZ83" s="116"/>
      <c r="BA83" s="116"/>
      <c r="BB83" s="116"/>
      <c r="BC83" s="116"/>
      <c r="BD83" s="116"/>
      <c r="BE83" s="116"/>
      <c r="BF83" s="116"/>
    </row>
    <row r="84" spans="1:58" ht="43.5" customHeight="1">
      <c r="A84" s="227" t="s">
        <v>269</v>
      </c>
      <c r="B84" s="29" t="s">
        <v>270</v>
      </c>
      <c r="C84" s="38" t="s">
        <v>271</v>
      </c>
      <c r="D84" s="135"/>
      <c r="E84" s="135"/>
      <c r="F84" s="141" t="s">
        <v>19</v>
      </c>
      <c r="G84" s="135"/>
      <c r="H84" s="36"/>
      <c r="I84" s="36"/>
      <c r="J84" s="36"/>
      <c r="K84" s="36"/>
      <c r="L84" s="32">
        <f t="shared" si="39"/>
        <v>0</v>
      </c>
      <c r="M84" s="36"/>
      <c r="N84" s="36"/>
      <c r="O84" s="36">
        <v>20</v>
      </c>
      <c r="P84" s="36"/>
      <c r="Q84" s="32">
        <f t="shared" si="40"/>
        <v>20</v>
      </c>
      <c r="R84" s="36"/>
      <c r="S84" s="36"/>
      <c r="T84" s="36"/>
      <c r="U84" s="36"/>
      <c r="V84" s="32">
        <f t="shared" si="41"/>
        <v>0</v>
      </c>
      <c r="W84" s="36"/>
      <c r="X84" s="36"/>
      <c r="Y84" s="36">
        <v>20</v>
      </c>
      <c r="Z84" s="36"/>
      <c r="AA84" s="188">
        <f t="shared" si="42"/>
        <v>20</v>
      </c>
      <c r="AB84" s="36"/>
      <c r="AC84" s="36"/>
      <c r="AD84" s="36"/>
      <c r="AE84" s="36"/>
      <c r="AF84" s="32">
        <f t="shared" si="55"/>
        <v>0</v>
      </c>
      <c r="AG84" s="36"/>
      <c r="AH84" s="36"/>
      <c r="AI84" s="36">
        <f t="shared" si="65"/>
        <v>40</v>
      </c>
      <c r="AJ84" s="36"/>
      <c r="AK84" s="188">
        <f t="shared" si="38"/>
        <v>40</v>
      </c>
      <c r="AL84" s="168">
        <f t="shared" si="66"/>
        <v>0</v>
      </c>
      <c r="AM84" s="33">
        <f t="shared" si="67"/>
        <v>40</v>
      </c>
      <c r="AN84" s="169">
        <f t="shared" si="68"/>
        <v>40</v>
      </c>
      <c r="AO84" s="61" t="s">
        <v>272</v>
      </c>
      <c r="AP84" s="116"/>
      <c r="AQ84" s="116"/>
      <c r="AR84" s="116"/>
      <c r="AS84" s="116"/>
      <c r="AT84" s="116"/>
      <c r="AU84" s="116"/>
      <c r="AV84" s="116"/>
      <c r="AW84" s="116"/>
      <c r="AX84" s="116"/>
      <c r="AY84" s="116"/>
      <c r="AZ84" s="116"/>
      <c r="BA84" s="116"/>
      <c r="BB84" s="116"/>
      <c r="BC84" s="116"/>
      <c r="BD84" s="116"/>
      <c r="BE84" s="116"/>
      <c r="BF84" s="116"/>
    </row>
    <row r="85" spans="1:58" ht="43.5" customHeight="1">
      <c r="A85" s="227"/>
      <c r="B85" s="29" t="s">
        <v>273</v>
      </c>
      <c r="C85" s="38" t="s">
        <v>274</v>
      </c>
      <c r="D85" s="135"/>
      <c r="E85" s="135"/>
      <c r="F85" s="141" t="s">
        <v>19</v>
      </c>
      <c r="G85" s="135"/>
      <c r="H85" s="36"/>
      <c r="I85" s="36"/>
      <c r="J85" s="36"/>
      <c r="K85" s="36"/>
      <c r="L85" s="32">
        <f t="shared" si="39"/>
        <v>0</v>
      </c>
      <c r="M85" s="36"/>
      <c r="N85" s="36"/>
      <c r="O85" s="36">
        <v>16</v>
      </c>
      <c r="P85" s="36"/>
      <c r="Q85" s="32">
        <f t="shared" si="40"/>
        <v>16</v>
      </c>
      <c r="R85" s="36"/>
      <c r="S85" s="36"/>
      <c r="T85" s="36"/>
      <c r="U85" s="36"/>
      <c r="V85" s="32">
        <f t="shared" si="41"/>
        <v>0</v>
      </c>
      <c r="W85" s="36"/>
      <c r="X85" s="36"/>
      <c r="Y85" s="36">
        <v>16</v>
      </c>
      <c r="Z85" s="36"/>
      <c r="AA85" s="188">
        <f t="shared" si="42"/>
        <v>16</v>
      </c>
      <c r="AB85" s="36"/>
      <c r="AC85" s="36"/>
      <c r="AD85" s="36"/>
      <c r="AE85" s="36"/>
      <c r="AF85" s="32">
        <f t="shared" si="55"/>
        <v>0</v>
      </c>
      <c r="AG85" s="36"/>
      <c r="AH85" s="36"/>
      <c r="AI85" s="36">
        <f t="shared" si="65"/>
        <v>32</v>
      </c>
      <c r="AJ85" s="36"/>
      <c r="AK85" s="188">
        <f t="shared" si="38"/>
        <v>32</v>
      </c>
      <c r="AL85" s="168">
        <f t="shared" si="66"/>
        <v>0</v>
      </c>
      <c r="AM85" s="33">
        <f t="shared" si="67"/>
        <v>32</v>
      </c>
      <c r="AN85" s="169">
        <f t="shared" si="68"/>
        <v>32</v>
      </c>
      <c r="AO85" s="61" t="s">
        <v>275</v>
      </c>
      <c r="AP85" s="116"/>
      <c r="AQ85" s="116"/>
      <c r="AR85" s="116"/>
      <c r="AS85" s="116"/>
      <c r="AT85" s="116"/>
      <c r="AU85" s="116"/>
      <c r="AV85" s="116"/>
      <c r="AW85" s="116"/>
      <c r="AX85" s="116"/>
      <c r="AY85" s="116"/>
      <c r="AZ85" s="116"/>
      <c r="BA85" s="116"/>
      <c r="BB85" s="116"/>
      <c r="BC85" s="116"/>
      <c r="BD85" s="116"/>
      <c r="BE85" s="116"/>
      <c r="BF85" s="116"/>
    </row>
    <row r="86" spans="1:58" ht="43.5" customHeight="1">
      <c r="A86" s="227"/>
      <c r="B86" s="29" t="s">
        <v>276</v>
      </c>
      <c r="C86" s="38" t="s">
        <v>277</v>
      </c>
      <c r="D86" s="135"/>
      <c r="E86" s="135"/>
      <c r="F86" s="141" t="s">
        <v>19</v>
      </c>
      <c r="G86" s="135"/>
      <c r="H86" s="36"/>
      <c r="I86" s="36"/>
      <c r="J86" s="36"/>
      <c r="K86" s="36"/>
      <c r="L86" s="32">
        <f t="shared" si="39"/>
        <v>0</v>
      </c>
      <c r="M86" s="36"/>
      <c r="N86" s="36"/>
      <c r="O86" s="36">
        <v>400</v>
      </c>
      <c r="P86" s="36"/>
      <c r="Q86" s="32">
        <f t="shared" si="40"/>
        <v>400</v>
      </c>
      <c r="R86" s="36"/>
      <c r="S86" s="36"/>
      <c r="T86" s="36"/>
      <c r="U86" s="36"/>
      <c r="V86" s="32">
        <f t="shared" si="41"/>
        <v>0</v>
      </c>
      <c r="W86" s="36"/>
      <c r="X86" s="36"/>
      <c r="Y86" s="36">
        <v>400</v>
      </c>
      <c r="Z86" s="36"/>
      <c r="AA86" s="188">
        <f t="shared" si="42"/>
        <v>400</v>
      </c>
      <c r="AB86" s="36"/>
      <c r="AC86" s="36"/>
      <c r="AD86" s="36"/>
      <c r="AE86" s="36"/>
      <c r="AF86" s="32">
        <f t="shared" si="55"/>
        <v>0</v>
      </c>
      <c r="AG86" s="36"/>
      <c r="AH86" s="36"/>
      <c r="AI86" s="36">
        <f t="shared" si="65"/>
        <v>800</v>
      </c>
      <c r="AJ86" s="36"/>
      <c r="AK86" s="188">
        <f t="shared" si="38"/>
        <v>800</v>
      </c>
      <c r="AL86" s="168">
        <f t="shared" si="66"/>
        <v>0</v>
      </c>
      <c r="AM86" s="33">
        <f t="shared" si="67"/>
        <v>800</v>
      </c>
      <c r="AN86" s="169">
        <f t="shared" si="68"/>
        <v>800</v>
      </c>
      <c r="AO86" s="61" t="s">
        <v>278</v>
      </c>
      <c r="AP86" s="116"/>
      <c r="AQ86" s="116"/>
      <c r="AR86" s="116"/>
      <c r="AS86" s="116"/>
      <c r="AT86" s="116"/>
      <c r="AU86" s="116"/>
      <c r="AV86" s="116"/>
      <c r="AW86" s="116"/>
      <c r="AX86" s="116"/>
      <c r="AY86" s="116"/>
      <c r="AZ86" s="116"/>
      <c r="BA86" s="116"/>
      <c r="BB86" s="116"/>
      <c r="BC86" s="116"/>
      <c r="BD86" s="116"/>
      <c r="BE86" s="116"/>
      <c r="BF86" s="116"/>
    </row>
    <row r="87" spans="1:58" ht="43.5" customHeight="1">
      <c r="A87" s="227"/>
      <c r="B87" s="29" t="s">
        <v>279</v>
      </c>
      <c r="C87" s="38" t="s">
        <v>280</v>
      </c>
      <c r="D87" s="135"/>
      <c r="E87" s="135"/>
      <c r="F87" s="141" t="s">
        <v>19</v>
      </c>
      <c r="G87" s="135"/>
      <c r="H87" s="36"/>
      <c r="I87" s="36"/>
      <c r="J87" s="36"/>
      <c r="K87" s="36"/>
      <c r="L87" s="32">
        <f t="shared" si="39"/>
        <v>0</v>
      </c>
      <c r="M87" s="36"/>
      <c r="N87" s="36"/>
      <c r="O87" s="36">
        <v>20</v>
      </c>
      <c r="P87" s="36"/>
      <c r="Q87" s="32">
        <f t="shared" si="40"/>
        <v>20</v>
      </c>
      <c r="R87" s="36"/>
      <c r="S87" s="36"/>
      <c r="T87" s="36"/>
      <c r="U87" s="36"/>
      <c r="V87" s="32">
        <f t="shared" si="41"/>
        <v>0</v>
      </c>
      <c r="W87" s="36"/>
      <c r="X87" s="36"/>
      <c r="Y87" s="36">
        <v>20</v>
      </c>
      <c r="Z87" s="36"/>
      <c r="AA87" s="188">
        <f t="shared" si="42"/>
        <v>20</v>
      </c>
      <c r="AB87" s="36"/>
      <c r="AC87" s="36"/>
      <c r="AD87" s="36"/>
      <c r="AE87" s="36"/>
      <c r="AF87" s="32">
        <f t="shared" si="55"/>
        <v>0</v>
      </c>
      <c r="AG87" s="36"/>
      <c r="AH87" s="36"/>
      <c r="AI87" s="36">
        <f t="shared" si="65"/>
        <v>40</v>
      </c>
      <c r="AJ87" s="36"/>
      <c r="AK87" s="188">
        <f t="shared" si="38"/>
        <v>40</v>
      </c>
      <c r="AL87" s="168">
        <f t="shared" si="66"/>
        <v>0</v>
      </c>
      <c r="AM87" s="33">
        <f t="shared" si="67"/>
        <v>40</v>
      </c>
      <c r="AN87" s="169">
        <f t="shared" si="68"/>
        <v>40</v>
      </c>
      <c r="AO87" s="61" t="s">
        <v>281</v>
      </c>
      <c r="AP87" s="116"/>
      <c r="AQ87" s="116"/>
      <c r="AR87" s="116"/>
      <c r="AS87" s="116"/>
      <c r="AT87" s="116"/>
      <c r="AU87" s="116"/>
      <c r="AV87" s="116"/>
      <c r="AW87" s="116"/>
      <c r="AX87" s="116"/>
      <c r="AY87" s="116"/>
      <c r="AZ87" s="116"/>
      <c r="BA87" s="116"/>
      <c r="BB87" s="116"/>
      <c r="BC87" s="116"/>
      <c r="BD87" s="116"/>
      <c r="BE87" s="116"/>
      <c r="BF87" s="116"/>
    </row>
    <row r="88" spans="1:58" ht="43.5" customHeight="1">
      <c r="A88" s="227"/>
      <c r="B88" s="29" t="s">
        <v>282</v>
      </c>
      <c r="C88" s="38" t="s">
        <v>283</v>
      </c>
      <c r="D88" s="135"/>
      <c r="E88" s="135"/>
      <c r="F88" s="141" t="s">
        <v>19</v>
      </c>
      <c r="G88" s="135"/>
      <c r="H88" s="36"/>
      <c r="I88" s="36"/>
      <c r="J88" s="36"/>
      <c r="K88" s="36"/>
      <c r="L88" s="32">
        <f t="shared" si="39"/>
        <v>0</v>
      </c>
      <c r="M88" s="36"/>
      <c r="N88" s="36"/>
      <c r="O88" s="36">
        <v>2</v>
      </c>
      <c r="P88" s="36"/>
      <c r="Q88" s="32">
        <f t="shared" si="40"/>
        <v>2</v>
      </c>
      <c r="R88" s="36"/>
      <c r="S88" s="36"/>
      <c r="T88" s="36"/>
      <c r="U88" s="36"/>
      <c r="V88" s="32">
        <f t="shared" si="41"/>
        <v>0</v>
      </c>
      <c r="W88" s="36"/>
      <c r="X88" s="36"/>
      <c r="Y88" s="36">
        <v>2</v>
      </c>
      <c r="Z88" s="36"/>
      <c r="AA88" s="188">
        <f t="shared" si="42"/>
        <v>2</v>
      </c>
      <c r="AB88" s="36"/>
      <c r="AC88" s="36"/>
      <c r="AD88" s="36"/>
      <c r="AE88" s="36"/>
      <c r="AF88" s="32">
        <f t="shared" si="55"/>
        <v>0</v>
      </c>
      <c r="AG88" s="36"/>
      <c r="AH88" s="36"/>
      <c r="AI88" s="36">
        <f t="shared" si="65"/>
        <v>4</v>
      </c>
      <c r="AJ88" s="36"/>
      <c r="AK88" s="188">
        <f t="shared" si="38"/>
        <v>4</v>
      </c>
      <c r="AL88" s="168">
        <f t="shared" si="66"/>
        <v>0</v>
      </c>
      <c r="AM88" s="33">
        <f t="shared" si="67"/>
        <v>4</v>
      </c>
      <c r="AN88" s="169">
        <f t="shared" si="68"/>
        <v>4</v>
      </c>
      <c r="AO88" s="61" t="s">
        <v>284</v>
      </c>
      <c r="AP88" s="116"/>
      <c r="AQ88" s="116"/>
      <c r="AR88" s="116"/>
      <c r="AS88" s="116"/>
      <c r="AT88" s="116"/>
      <c r="AU88" s="116"/>
      <c r="AV88" s="116"/>
      <c r="AW88" s="116"/>
      <c r="AX88" s="116"/>
      <c r="AY88" s="116"/>
      <c r="AZ88" s="116"/>
      <c r="BA88" s="116"/>
      <c r="BB88" s="116"/>
      <c r="BC88" s="116"/>
      <c r="BD88" s="116"/>
      <c r="BE88" s="116"/>
      <c r="BF88" s="116"/>
    </row>
    <row r="89" spans="1:58" ht="43.5" customHeight="1">
      <c r="A89" s="227"/>
      <c r="B89" s="50" t="s">
        <v>285</v>
      </c>
      <c r="C89" s="38" t="s">
        <v>286</v>
      </c>
      <c r="D89" s="135"/>
      <c r="E89" s="135"/>
      <c r="F89" s="141" t="s">
        <v>19</v>
      </c>
      <c r="G89" s="135"/>
      <c r="H89" s="36"/>
      <c r="I89" s="36"/>
      <c r="J89" s="36"/>
      <c r="K89" s="36"/>
      <c r="L89" s="32">
        <f t="shared" si="39"/>
        <v>0</v>
      </c>
      <c r="M89" s="36"/>
      <c r="N89" s="36"/>
      <c r="O89" s="36">
        <v>1</v>
      </c>
      <c r="P89" s="36"/>
      <c r="Q89" s="32">
        <f t="shared" si="40"/>
        <v>1</v>
      </c>
      <c r="R89" s="36"/>
      <c r="S89" s="36"/>
      <c r="T89" s="36"/>
      <c r="U89" s="36"/>
      <c r="V89" s="32">
        <f t="shared" si="41"/>
        <v>0</v>
      </c>
      <c r="W89" s="36"/>
      <c r="X89" s="36"/>
      <c r="Y89" s="36">
        <v>3</v>
      </c>
      <c r="Z89" s="36"/>
      <c r="AA89" s="188">
        <f t="shared" si="42"/>
        <v>3</v>
      </c>
      <c r="AB89" s="36"/>
      <c r="AC89" s="36"/>
      <c r="AD89" s="36"/>
      <c r="AE89" s="36"/>
      <c r="AF89" s="32">
        <f t="shared" si="55"/>
        <v>0</v>
      </c>
      <c r="AG89" s="36"/>
      <c r="AH89" s="36"/>
      <c r="AI89" s="36">
        <f t="shared" si="65"/>
        <v>4</v>
      </c>
      <c r="AJ89" s="36"/>
      <c r="AK89" s="188">
        <f t="shared" si="38"/>
        <v>4</v>
      </c>
      <c r="AL89" s="168">
        <f t="shared" si="66"/>
        <v>0</v>
      </c>
      <c r="AM89" s="33">
        <f t="shared" si="67"/>
        <v>4</v>
      </c>
      <c r="AN89" s="169">
        <f t="shared" si="68"/>
        <v>4</v>
      </c>
      <c r="AO89" s="61" t="s">
        <v>287</v>
      </c>
      <c r="AP89" s="116"/>
      <c r="AQ89" s="116"/>
      <c r="AR89" s="116"/>
      <c r="AS89" s="116"/>
      <c r="AT89" s="116"/>
      <c r="AU89" s="116"/>
      <c r="AV89" s="116"/>
      <c r="AW89" s="116"/>
      <c r="AX89" s="116"/>
      <c r="AY89" s="116"/>
      <c r="AZ89" s="116"/>
      <c r="BA89" s="116"/>
      <c r="BB89" s="116"/>
      <c r="BC89" s="116"/>
      <c r="BD89" s="116"/>
      <c r="BE89" s="116"/>
      <c r="BF89" s="116"/>
    </row>
    <row r="90" spans="1:58" ht="43.5" customHeight="1">
      <c r="A90" s="227" t="s">
        <v>288</v>
      </c>
      <c r="B90" s="29" t="s">
        <v>289</v>
      </c>
      <c r="C90" s="38" t="s">
        <v>290</v>
      </c>
      <c r="D90" s="135"/>
      <c r="E90" s="135"/>
      <c r="F90" s="141" t="s">
        <v>19</v>
      </c>
      <c r="G90" s="135"/>
      <c r="H90" s="36"/>
      <c r="I90" s="36"/>
      <c r="J90" s="36">
        <v>22</v>
      </c>
      <c r="K90" s="36"/>
      <c r="L90" s="32">
        <f t="shared" si="39"/>
        <v>22</v>
      </c>
      <c r="M90" s="36"/>
      <c r="N90" s="36"/>
      <c r="O90" s="36"/>
      <c r="P90" s="36"/>
      <c r="Q90" s="32">
        <f t="shared" si="40"/>
        <v>0</v>
      </c>
      <c r="R90" s="36"/>
      <c r="S90" s="36"/>
      <c r="T90" s="202">
        <f>10+18</f>
        <v>28</v>
      </c>
      <c r="U90" s="36"/>
      <c r="V90" s="32">
        <f t="shared" si="41"/>
        <v>28</v>
      </c>
      <c r="W90" s="36"/>
      <c r="X90" s="36"/>
      <c r="Y90" s="36"/>
      <c r="Z90" s="36"/>
      <c r="AA90" s="188">
        <f t="shared" si="42"/>
        <v>0</v>
      </c>
      <c r="AB90" s="36"/>
      <c r="AC90" s="36"/>
      <c r="AD90" s="36">
        <f t="shared" si="64"/>
        <v>50</v>
      </c>
      <c r="AE90" s="36"/>
      <c r="AF90" s="32">
        <f t="shared" si="55"/>
        <v>50</v>
      </c>
      <c r="AG90" s="36"/>
      <c r="AH90" s="36"/>
      <c r="AI90" s="36"/>
      <c r="AJ90" s="36"/>
      <c r="AK90" s="188">
        <f t="shared" si="38"/>
        <v>0</v>
      </c>
      <c r="AL90" s="168">
        <f t="shared" si="66"/>
        <v>50</v>
      </c>
      <c r="AM90" s="33">
        <f t="shared" si="67"/>
        <v>0</v>
      </c>
      <c r="AN90" s="169">
        <f t="shared" si="68"/>
        <v>50</v>
      </c>
      <c r="AO90" s="61" t="s">
        <v>291</v>
      </c>
      <c r="AP90" s="116"/>
      <c r="AQ90" s="116"/>
      <c r="AR90" s="116"/>
      <c r="AS90" s="116"/>
      <c r="AT90" s="116"/>
      <c r="AU90" s="116"/>
      <c r="AV90" s="116"/>
      <c r="AW90" s="116"/>
      <c r="AX90" s="116"/>
      <c r="AY90" s="116"/>
      <c r="AZ90" s="116"/>
      <c r="BA90" s="116"/>
      <c r="BB90" s="116"/>
      <c r="BC90" s="116"/>
      <c r="BD90" s="116"/>
      <c r="BE90" s="116"/>
      <c r="BF90" s="116"/>
    </row>
    <row r="91" spans="1:58" ht="43.5" customHeight="1">
      <c r="A91" s="227"/>
      <c r="B91" s="29" t="s">
        <v>292</v>
      </c>
      <c r="C91" s="38" t="s">
        <v>293</v>
      </c>
      <c r="D91" s="135"/>
      <c r="E91" s="135"/>
      <c r="F91" s="141" t="s">
        <v>19</v>
      </c>
      <c r="G91" s="135"/>
      <c r="H91" s="36"/>
      <c r="I91" s="36"/>
      <c r="J91" s="36">
        <v>18</v>
      </c>
      <c r="K91" s="36"/>
      <c r="L91" s="32">
        <f t="shared" si="39"/>
        <v>18</v>
      </c>
      <c r="M91" s="36"/>
      <c r="N91" s="36"/>
      <c r="O91" s="36"/>
      <c r="P91" s="36"/>
      <c r="Q91" s="32">
        <f t="shared" si="40"/>
        <v>0</v>
      </c>
      <c r="R91" s="36"/>
      <c r="S91" s="36"/>
      <c r="T91" s="202">
        <f>8+14</f>
        <v>22</v>
      </c>
      <c r="U91" s="36"/>
      <c r="V91" s="32">
        <f t="shared" si="41"/>
        <v>22</v>
      </c>
      <c r="W91" s="36"/>
      <c r="X91" s="36"/>
      <c r="Y91" s="36"/>
      <c r="Z91" s="36"/>
      <c r="AA91" s="188">
        <f t="shared" si="42"/>
        <v>0</v>
      </c>
      <c r="AB91" s="36"/>
      <c r="AC91" s="36"/>
      <c r="AD91" s="36">
        <f t="shared" si="64"/>
        <v>40</v>
      </c>
      <c r="AE91" s="36"/>
      <c r="AF91" s="32">
        <f t="shared" si="55"/>
        <v>40</v>
      </c>
      <c r="AG91" s="36"/>
      <c r="AH91" s="36"/>
      <c r="AI91" s="36"/>
      <c r="AJ91" s="36"/>
      <c r="AK91" s="188">
        <f t="shared" si="38"/>
        <v>0</v>
      </c>
      <c r="AL91" s="168">
        <f t="shared" si="66"/>
        <v>40</v>
      </c>
      <c r="AM91" s="33">
        <f t="shared" si="67"/>
        <v>0</v>
      </c>
      <c r="AN91" s="169">
        <f t="shared" si="68"/>
        <v>40</v>
      </c>
      <c r="AO91" s="61" t="s">
        <v>294</v>
      </c>
      <c r="AP91" s="116"/>
      <c r="AQ91" s="116"/>
      <c r="AR91" s="116"/>
      <c r="AS91" s="116"/>
      <c r="AT91" s="116"/>
      <c r="AU91" s="116"/>
      <c r="AV91" s="116"/>
      <c r="AW91" s="116"/>
      <c r="AX91" s="116"/>
      <c r="AY91" s="116"/>
      <c r="AZ91" s="116"/>
      <c r="BA91" s="116"/>
      <c r="BB91" s="116"/>
      <c r="BC91" s="116"/>
      <c r="BD91" s="116"/>
      <c r="BE91" s="116"/>
      <c r="BF91" s="116"/>
    </row>
    <row r="92" spans="1:58" ht="43.5" customHeight="1">
      <c r="A92" s="227"/>
      <c r="B92" s="29" t="s">
        <v>295</v>
      </c>
      <c r="C92" s="38" t="s">
        <v>296</v>
      </c>
      <c r="D92" s="135"/>
      <c r="E92" s="135"/>
      <c r="F92" s="141" t="s">
        <v>19</v>
      </c>
      <c r="G92" s="135"/>
      <c r="H92" s="36"/>
      <c r="I92" s="36"/>
      <c r="J92" s="36">
        <v>18</v>
      </c>
      <c r="K92" s="36"/>
      <c r="L92" s="32">
        <f t="shared" si="39"/>
        <v>18</v>
      </c>
      <c r="M92" s="36"/>
      <c r="N92" s="36"/>
      <c r="O92" s="36"/>
      <c r="P92" s="36"/>
      <c r="Q92" s="32">
        <f t="shared" si="40"/>
        <v>0</v>
      </c>
      <c r="R92" s="36"/>
      <c r="S92" s="36"/>
      <c r="T92" s="202">
        <f>8+14</f>
        <v>22</v>
      </c>
      <c r="U92" s="36"/>
      <c r="V92" s="32">
        <f t="shared" si="41"/>
        <v>22</v>
      </c>
      <c r="W92" s="36"/>
      <c r="X92" s="36"/>
      <c r="Y92" s="36"/>
      <c r="Z92" s="36"/>
      <c r="AA92" s="188">
        <f t="shared" si="42"/>
        <v>0</v>
      </c>
      <c r="AB92" s="36"/>
      <c r="AC92" s="36"/>
      <c r="AD92" s="36">
        <f t="shared" si="64"/>
        <v>40</v>
      </c>
      <c r="AE92" s="36"/>
      <c r="AF92" s="32">
        <f t="shared" si="55"/>
        <v>40</v>
      </c>
      <c r="AG92" s="36"/>
      <c r="AH92" s="36"/>
      <c r="AI92" s="36"/>
      <c r="AJ92" s="36"/>
      <c r="AK92" s="188">
        <f t="shared" si="38"/>
        <v>0</v>
      </c>
      <c r="AL92" s="168">
        <f t="shared" si="66"/>
        <v>40</v>
      </c>
      <c r="AM92" s="33">
        <f t="shared" si="67"/>
        <v>0</v>
      </c>
      <c r="AN92" s="169">
        <f t="shared" si="68"/>
        <v>40</v>
      </c>
      <c r="AO92" s="61" t="s">
        <v>297</v>
      </c>
      <c r="AP92" s="116"/>
      <c r="AQ92" s="116"/>
      <c r="AR92" s="116"/>
      <c r="AS92" s="116"/>
      <c r="AT92" s="116"/>
      <c r="AU92" s="116"/>
      <c r="AV92" s="116"/>
      <c r="AW92" s="116"/>
      <c r="AX92" s="116"/>
      <c r="AY92" s="116"/>
      <c r="AZ92" s="116"/>
      <c r="BA92" s="116"/>
      <c r="BB92" s="116"/>
      <c r="BC92" s="116"/>
      <c r="BD92" s="116"/>
      <c r="BE92" s="116"/>
      <c r="BF92" s="116"/>
    </row>
    <row r="93" spans="1:58" ht="43.5" customHeight="1">
      <c r="A93" s="227"/>
      <c r="B93" s="29" t="s">
        <v>298</v>
      </c>
      <c r="C93" s="38" t="s">
        <v>299</v>
      </c>
      <c r="D93" s="135"/>
      <c r="E93" s="135"/>
      <c r="F93" s="141" t="s">
        <v>19</v>
      </c>
      <c r="G93" s="135"/>
      <c r="H93" s="36"/>
      <c r="I93" s="36"/>
      <c r="J93" s="36">
        <v>250</v>
      </c>
      <c r="K93" s="36"/>
      <c r="L93" s="32">
        <f t="shared" si="39"/>
        <v>250</v>
      </c>
      <c r="M93" s="36"/>
      <c r="N93" s="36"/>
      <c r="O93" s="36">
        <v>320</v>
      </c>
      <c r="P93" s="36"/>
      <c r="Q93" s="32">
        <f t="shared" si="40"/>
        <v>320</v>
      </c>
      <c r="R93" s="36"/>
      <c r="S93" s="36"/>
      <c r="T93" s="202">
        <f>100+450</f>
        <v>550</v>
      </c>
      <c r="U93" s="36"/>
      <c r="V93" s="32">
        <f t="shared" si="41"/>
        <v>550</v>
      </c>
      <c r="W93" s="36"/>
      <c r="X93" s="36"/>
      <c r="Y93" s="36"/>
      <c r="Z93" s="36"/>
      <c r="AA93" s="188">
        <f t="shared" si="42"/>
        <v>0</v>
      </c>
      <c r="AB93" s="36"/>
      <c r="AC93" s="36"/>
      <c r="AD93" s="36">
        <f t="shared" si="64"/>
        <v>800</v>
      </c>
      <c r="AE93" s="36"/>
      <c r="AF93" s="32">
        <f t="shared" si="55"/>
        <v>800</v>
      </c>
      <c r="AG93" s="36"/>
      <c r="AH93" s="36"/>
      <c r="AI93" s="36">
        <f t="shared" si="65"/>
        <v>320</v>
      </c>
      <c r="AJ93" s="36"/>
      <c r="AK93" s="188">
        <f t="shared" si="38"/>
        <v>320</v>
      </c>
      <c r="AL93" s="168">
        <f t="shared" si="66"/>
        <v>800</v>
      </c>
      <c r="AM93" s="33">
        <f t="shared" si="67"/>
        <v>320</v>
      </c>
      <c r="AN93" s="169">
        <f t="shared" si="68"/>
        <v>1120</v>
      </c>
      <c r="AO93" s="61" t="s">
        <v>300</v>
      </c>
      <c r="AP93" s="116"/>
      <c r="AQ93" s="116"/>
      <c r="AR93" s="116"/>
      <c r="AS93" s="116"/>
      <c r="AT93" s="116"/>
      <c r="AU93" s="116"/>
      <c r="AV93" s="116"/>
      <c r="AW93" s="116"/>
      <c r="AX93" s="116"/>
      <c r="AY93" s="116"/>
      <c r="AZ93" s="116"/>
      <c r="BA93" s="116"/>
      <c r="BB93" s="116"/>
      <c r="BC93" s="116"/>
      <c r="BD93" s="116"/>
      <c r="BE93" s="116"/>
      <c r="BF93" s="116"/>
    </row>
    <row r="94" spans="1:58" ht="43.5" customHeight="1">
      <c r="A94" s="227"/>
      <c r="B94" s="29" t="s">
        <v>301</v>
      </c>
      <c r="C94" s="38" t="s">
        <v>302</v>
      </c>
      <c r="D94" s="135"/>
      <c r="E94" s="135"/>
      <c r="F94" s="141" t="s">
        <v>19</v>
      </c>
      <c r="G94" s="135"/>
      <c r="H94" s="36"/>
      <c r="I94" s="36"/>
      <c r="J94" s="36">
        <v>200</v>
      </c>
      <c r="K94" s="36"/>
      <c r="L94" s="32">
        <f t="shared" si="39"/>
        <v>200</v>
      </c>
      <c r="M94" s="36"/>
      <c r="N94" s="36"/>
      <c r="O94" s="36">
        <v>256</v>
      </c>
      <c r="P94" s="36"/>
      <c r="Q94" s="32">
        <f t="shared" si="40"/>
        <v>256</v>
      </c>
      <c r="R94" s="36"/>
      <c r="S94" s="36"/>
      <c r="T94" s="202">
        <f>T93*0.8</f>
        <v>440</v>
      </c>
      <c r="U94" s="36"/>
      <c r="V94" s="32">
        <f t="shared" si="41"/>
        <v>440</v>
      </c>
      <c r="W94" s="36"/>
      <c r="X94" s="36"/>
      <c r="Y94" s="36">
        <v>136</v>
      </c>
      <c r="Z94" s="36"/>
      <c r="AA94" s="188">
        <f t="shared" si="42"/>
        <v>136</v>
      </c>
      <c r="AB94" s="36"/>
      <c r="AC94" s="36"/>
      <c r="AD94" s="36">
        <f t="shared" si="64"/>
        <v>640</v>
      </c>
      <c r="AE94" s="36"/>
      <c r="AF94" s="32">
        <f t="shared" si="55"/>
        <v>640</v>
      </c>
      <c r="AG94" s="36"/>
      <c r="AH94" s="36"/>
      <c r="AI94" s="36">
        <f t="shared" si="65"/>
        <v>392</v>
      </c>
      <c r="AJ94" s="36"/>
      <c r="AK94" s="188">
        <f t="shared" si="38"/>
        <v>392</v>
      </c>
      <c r="AL94" s="168">
        <f t="shared" si="66"/>
        <v>640</v>
      </c>
      <c r="AM94" s="33">
        <f t="shared" si="67"/>
        <v>392</v>
      </c>
      <c r="AN94" s="169">
        <f t="shared" si="68"/>
        <v>1032</v>
      </c>
      <c r="AO94" s="61" t="s">
        <v>303</v>
      </c>
      <c r="AP94" s="116"/>
      <c r="AQ94" s="116"/>
      <c r="AR94" s="116"/>
      <c r="AS94" s="116"/>
      <c r="AT94" s="116"/>
      <c r="AU94" s="116"/>
      <c r="AV94" s="116"/>
      <c r="AW94" s="116"/>
      <c r="AX94" s="116"/>
      <c r="AY94" s="116"/>
      <c r="AZ94" s="116"/>
      <c r="BA94" s="116"/>
      <c r="BB94" s="116"/>
      <c r="BC94" s="116"/>
      <c r="BD94" s="116"/>
      <c r="BE94" s="116"/>
      <c r="BF94" s="116"/>
    </row>
    <row r="95" spans="1:58" ht="43.5" customHeight="1">
      <c r="A95" s="227"/>
      <c r="B95" s="29" t="s">
        <v>304</v>
      </c>
      <c r="C95" s="38" t="s">
        <v>305</v>
      </c>
      <c r="D95" s="135"/>
      <c r="E95" s="135"/>
      <c r="F95" s="141" t="s">
        <v>19</v>
      </c>
      <c r="G95" s="135"/>
      <c r="H95" s="36"/>
      <c r="I95" s="36"/>
      <c r="J95" s="36">
        <v>200</v>
      </c>
      <c r="K95" s="36"/>
      <c r="L95" s="32">
        <f t="shared" si="39"/>
        <v>200</v>
      </c>
      <c r="M95" s="36"/>
      <c r="N95" s="36"/>
      <c r="O95" s="36">
        <v>120</v>
      </c>
      <c r="P95" s="36"/>
      <c r="Q95" s="32">
        <f t="shared" si="40"/>
        <v>120</v>
      </c>
      <c r="R95" s="36"/>
      <c r="S95" s="36"/>
      <c r="T95" s="202">
        <f>T94</f>
        <v>440</v>
      </c>
      <c r="U95" s="36"/>
      <c r="V95" s="32">
        <f t="shared" si="41"/>
        <v>440</v>
      </c>
      <c r="W95" s="36"/>
      <c r="X95" s="36"/>
      <c r="Y95" s="36">
        <v>136</v>
      </c>
      <c r="Z95" s="36"/>
      <c r="AA95" s="188">
        <f t="shared" si="42"/>
        <v>136</v>
      </c>
      <c r="AB95" s="36"/>
      <c r="AC95" s="36"/>
      <c r="AD95" s="36">
        <f t="shared" si="64"/>
        <v>640</v>
      </c>
      <c r="AE95" s="36"/>
      <c r="AF95" s="32">
        <f t="shared" si="55"/>
        <v>640</v>
      </c>
      <c r="AG95" s="36"/>
      <c r="AH95" s="36"/>
      <c r="AI95" s="36">
        <f t="shared" si="65"/>
        <v>256</v>
      </c>
      <c r="AJ95" s="36"/>
      <c r="AK95" s="188">
        <f t="shared" si="38"/>
        <v>256</v>
      </c>
      <c r="AL95" s="168">
        <f t="shared" si="66"/>
        <v>640</v>
      </c>
      <c r="AM95" s="33">
        <f t="shared" si="67"/>
        <v>256</v>
      </c>
      <c r="AN95" s="169">
        <f t="shared" si="68"/>
        <v>896</v>
      </c>
      <c r="AO95" s="61" t="s">
        <v>306</v>
      </c>
      <c r="AP95" s="116"/>
      <c r="AQ95" s="116"/>
      <c r="AR95" s="116"/>
      <c r="AS95" s="116"/>
      <c r="AT95" s="116"/>
      <c r="AU95" s="116"/>
      <c r="AV95" s="116"/>
      <c r="AW95" s="116"/>
      <c r="AX95" s="116"/>
      <c r="AY95" s="116"/>
      <c r="AZ95" s="116"/>
      <c r="BA95" s="116"/>
      <c r="BB95" s="116"/>
      <c r="BC95" s="116"/>
      <c r="BD95" s="116"/>
      <c r="BE95" s="116"/>
      <c r="BF95" s="116"/>
    </row>
    <row r="96" spans="1:58" ht="43.5" customHeight="1">
      <c r="A96" s="226" t="s">
        <v>307</v>
      </c>
      <c r="B96" s="29" t="s">
        <v>308</v>
      </c>
      <c r="C96" s="38" t="s">
        <v>309</v>
      </c>
      <c r="D96" s="135"/>
      <c r="E96" s="10" t="s">
        <v>18</v>
      </c>
      <c r="F96" s="135"/>
      <c r="G96" s="135"/>
      <c r="H96" s="36"/>
      <c r="I96" s="36"/>
      <c r="J96" s="36"/>
      <c r="K96" s="36"/>
      <c r="L96" s="32">
        <f t="shared" si="39"/>
        <v>0</v>
      </c>
      <c r="M96" s="36"/>
      <c r="N96" s="36"/>
      <c r="O96" s="36"/>
      <c r="P96" s="36"/>
      <c r="Q96" s="32">
        <f t="shared" si="40"/>
        <v>0</v>
      </c>
      <c r="R96" s="36"/>
      <c r="S96" s="36"/>
      <c r="T96" s="36"/>
      <c r="U96" s="36"/>
      <c r="V96" s="32">
        <f t="shared" si="41"/>
        <v>0</v>
      </c>
      <c r="W96" s="36"/>
      <c r="X96" s="36"/>
      <c r="Y96" s="36"/>
      <c r="Z96" s="36"/>
      <c r="AA96" s="188">
        <f t="shared" si="42"/>
        <v>0</v>
      </c>
      <c r="AB96" s="36"/>
      <c r="AC96" s="36"/>
      <c r="AD96" s="36"/>
      <c r="AE96" s="36"/>
      <c r="AF96" s="32">
        <f t="shared" si="55"/>
        <v>0</v>
      </c>
      <c r="AG96" s="36"/>
      <c r="AH96" s="36"/>
      <c r="AI96" s="36"/>
      <c r="AJ96" s="36"/>
      <c r="AK96" s="188">
        <f t="shared" si="38"/>
        <v>0</v>
      </c>
      <c r="AL96" s="168">
        <f t="shared" si="66"/>
        <v>0</v>
      </c>
      <c r="AM96" s="33">
        <f t="shared" si="67"/>
        <v>0</v>
      </c>
      <c r="AN96" s="167">
        <v>0.9</v>
      </c>
      <c r="AO96" s="65" t="s">
        <v>310</v>
      </c>
      <c r="AP96" s="116"/>
      <c r="AQ96" s="116"/>
      <c r="AR96" s="116"/>
      <c r="AS96" s="116"/>
      <c r="AT96" s="116"/>
      <c r="AU96" s="116"/>
      <c r="AV96" s="116"/>
      <c r="AW96" s="116"/>
      <c r="AX96" s="116"/>
      <c r="AY96" s="116"/>
      <c r="AZ96" s="116"/>
      <c r="BA96" s="116"/>
      <c r="BB96" s="116"/>
      <c r="BC96" s="116"/>
      <c r="BD96" s="116"/>
      <c r="BE96" s="116"/>
      <c r="BF96" s="116"/>
    </row>
    <row r="97" spans="1:58" ht="43.5" customHeight="1">
      <c r="A97" s="226"/>
      <c r="B97" s="29" t="s">
        <v>311</v>
      </c>
      <c r="C97" s="38" t="s">
        <v>312</v>
      </c>
      <c r="D97" s="135"/>
      <c r="E97" s="10" t="s">
        <v>18</v>
      </c>
      <c r="F97" s="135"/>
      <c r="G97" s="135"/>
      <c r="H97" s="36"/>
      <c r="I97" s="36"/>
      <c r="J97" s="36"/>
      <c r="K97" s="36"/>
      <c r="L97" s="32">
        <f t="shared" si="39"/>
        <v>0</v>
      </c>
      <c r="M97" s="36"/>
      <c r="N97" s="36"/>
      <c r="O97" s="36"/>
      <c r="P97" s="36"/>
      <c r="Q97" s="32">
        <f t="shared" si="40"/>
        <v>0</v>
      </c>
      <c r="R97" s="36"/>
      <c r="S97" s="36">
        <v>10</v>
      </c>
      <c r="T97" s="36"/>
      <c r="U97" s="36"/>
      <c r="V97" s="32">
        <f t="shared" si="41"/>
        <v>10</v>
      </c>
      <c r="W97" s="36"/>
      <c r="X97" s="36">
        <v>10</v>
      </c>
      <c r="Y97" s="36"/>
      <c r="Z97" s="36"/>
      <c r="AA97" s="188">
        <f t="shared" si="42"/>
        <v>10</v>
      </c>
      <c r="AB97" s="36"/>
      <c r="AC97" s="36">
        <v>10</v>
      </c>
      <c r="AD97" s="36"/>
      <c r="AE97" s="36"/>
      <c r="AF97" s="32">
        <f t="shared" si="55"/>
        <v>10</v>
      </c>
      <c r="AG97" s="36"/>
      <c r="AH97" s="36">
        <v>10</v>
      </c>
      <c r="AI97" s="36"/>
      <c r="AJ97" s="36"/>
      <c r="AK97" s="188">
        <f t="shared" si="38"/>
        <v>10</v>
      </c>
      <c r="AL97" s="168">
        <f t="shared" si="66"/>
        <v>10</v>
      </c>
      <c r="AM97" s="33">
        <f t="shared" si="67"/>
        <v>10</v>
      </c>
      <c r="AN97" s="169">
        <v>10</v>
      </c>
      <c r="AO97" s="65" t="s">
        <v>313</v>
      </c>
      <c r="AP97" s="116"/>
      <c r="AQ97" s="116"/>
      <c r="AR97" s="116"/>
      <c r="AS97" s="116"/>
      <c r="AT97" s="116"/>
      <c r="AU97" s="116"/>
      <c r="AV97" s="116"/>
      <c r="AW97" s="116"/>
      <c r="AX97" s="116"/>
      <c r="AY97" s="116"/>
      <c r="AZ97" s="116"/>
      <c r="BA97" s="116"/>
      <c r="BB97" s="116"/>
      <c r="BC97" s="116"/>
      <c r="BD97" s="116"/>
      <c r="BE97" s="116"/>
      <c r="BF97" s="116"/>
    </row>
    <row r="98" spans="1:58" ht="43.5" customHeight="1">
      <c r="A98" s="226"/>
      <c r="B98" s="29" t="s">
        <v>314</v>
      </c>
      <c r="C98" s="38" t="s">
        <v>315</v>
      </c>
      <c r="D98" s="135"/>
      <c r="E98" s="10" t="s">
        <v>18</v>
      </c>
      <c r="F98" s="135"/>
      <c r="G98" s="135"/>
      <c r="H98" s="36"/>
      <c r="I98" s="36"/>
      <c r="J98" s="36"/>
      <c r="K98" s="36"/>
      <c r="L98" s="32">
        <f t="shared" si="39"/>
        <v>0</v>
      </c>
      <c r="M98" s="36"/>
      <c r="N98" s="36"/>
      <c r="O98" s="36"/>
      <c r="P98" s="36"/>
      <c r="Q98" s="32">
        <f t="shared" si="40"/>
        <v>0</v>
      </c>
      <c r="R98" s="36"/>
      <c r="S98" s="36"/>
      <c r="T98" s="36"/>
      <c r="U98" s="36"/>
      <c r="V98" s="32">
        <f t="shared" si="41"/>
        <v>0</v>
      </c>
      <c r="W98" s="36"/>
      <c r="X98" s="36"/>
      <c r="Y98" s="36"/>
      <c r="Z98" s="36"/>
      <c r="AA98" s="188">
        <f t="shared" si="42"/>
        <v>0</v>
      </c>
      <c r="AB98" s="36"/>
      <c r="AC98" s="36"/>
      <c r="AD98" s="36"/>
      <c r="AE98" s="36"/>
      <c r="AF98" s="32">
        <f t="shared" si="55"/>
        <v>0</v>
      </c>
      <c r="AG98" s="36"/>
      <c r="AH98" s="36"/>
      <c r="AI98" s="36"/>
      <c r="AJ98" s="36"/>
      <c r="AK98" s="188">
        <f t="shared" si="38"/>
        <v>0</v>
      </c>
      <c r="AL98" s="168">
        <f t="shared" si="66"/>
        <v>0</v>
      </c>
      <c r="AM98" s="33">
        <f t="shared" si="67"/>
        <v>0</v>
      </c>
      <c r="AN98" s="167">
        <v>0.8</v>
      </c>
      <c r="AO98" s="65" t="s">
        <v>316</v>
      </c>
      <c r="AP98" s="116"/>
      <c r="AQ98" s="116"/>
      <c r="AR98" s="116"/>
      <c r="AS98" s="116"/>
      <c r="AT98" s="116"/>
      <c r="AU98" s="116"/>
      <c r="AV98" s="116"/>
      <c r="AW98" s="116"/>
      <c r="AX98" s="116"/>
      <c r="AY98" s="116"/>
      <c r="AZ98" s="116"/>
      <c r="BA98" s="116"/>
      <c r="BB98" s="116"/>
      <c r="BC98" s="116"/>
      <c r="BD98" s="116"/>
      <c r="BE98" s="116"/>
      <c r="BF98" s="116"/>
    </row>
    <row r="99" spans="1:58" ht="43.5" customHeight="1">
      <c r="A99" s="112" t="s">
        <v>317</v>
      </c>
      <c r="B99" s="29" t="s">
        <v>318</v>
      </c>
      <c r="C99" s="38" t="s">
        <v>319</v>
      </c>
      <c r="D99" s="135"/>
      <c r="E99" s="10" t="s">
        <v>18</v>
      </c>
      <c r="F99" s="135"/>
      <c r="G99" s="135"/>
      <c r="H99" s="36"/>
      <c r="I99" s="36">
        <v>30</v>
      </c>
      <c r="J99" s="36"/>
      <c r="K99" s="36"/>
      <c r="L99" s="32">
        <f t="shared" si="39"/>
        <v>30</v>
      </c>
      <c r="M99" s="36"/>
      <c r="N99" s="36">
        <v>30</v>
      </c>
      <c r="O99" s="36"/>
      <c r="P99" s="36"/>
      <c r="Q99" s="32">
        <f t="shared" si="40"/>
        <v>30</v>
      </c>
      <c r="R99" s="36"/>
      <c r="S99" s="36">
        <v>30</v>
      </c>
      <c r="T99" s="36"/>
      <c r="U99" s="36"/>
      <c r="V99" s="32">
        <f t="shared" si="41"/>
        <v>30</v>
      </c>
      <c r="W99" s="36"/>
      <c r="X99" s="36">
        <v>30</v>
      </c>
      <c r="Y99" s="36"/>
      <c r="Z99" s="36"/>
      <c r="AA99" s="188">
        <f t="shared" si="42"/>
        <v>30</v>
      </c>
      <c r="AB99" s="36"/>
      <c r="AC99" s="36">
        <v>30</v>
      </c>
      <c r="AD99" s="36"/>
      <c r="AE99" s="36"/>
      <c r="AF99" s="32">
        <f t="shared" si="55"/>
        <v>30</v>
      </c>
      <c r="AG99" s="36"/>
      <c r="AH99" s="36">
        <v>30</v>
      </c>
      <c r="AI99" s="36"/>
      <c r="AJ99" s="36"/>
      <c r="AK99" s="188">
        <f t="shared" si="38"/>
        <v>30</v>
      </c>
      <c r="AL99" s="168">
        <v>30</v>
      </c>
      <c r="AM99" s="33">
        <v>30</v>
      </c>
      <c r="AN99" s="169">
        <f>AVERAGE(L99,Q99,V99,AA99)</f>
        <v>30</v>
      </c>
      <c r="AO99" s="61" t="s">
        <v>320</v>
      </c>
      <c r="AP99" s="116"/>
      <c r="AQ99" s="116"/>
      <c r="AR99" s="116"/>
      <c r="AS99" s="116"/>
      <c r="AT99" s="116"/>
      <c r="AU99" s="116"/>
      <c r="AV99" s="116"/>
      <c r="AW99" s="116"/>
      <c r="AX99" s="116"/>
      <c r="AY99" s="116"/>
      <c r="AZ99" s="116"/>
      <c r="BA99" s="116"/>
      <c r="BB99" s="116"/>
      <c r="BC99" s="116"/>
      <c r="BD99" s="116"/>
      <c r="BE99" s="116"/>
      <c r="BF99" s="116"/>
    </row>
    <row r="100" spans="1:58" ht="64.95" customHeight="1">
      <c r="A100" s="112" t="s">
        <v>321</v>
      </c>
      <c r="B100" s="29" t="s">
        <v>322</v>
      </c>
      <c r="C100" s="38" t="s">
        <v>323</v>
      </c>
      <c r="D100" s="135"/>
      <c r="E100" s="10" t="s">
        <v>18</v>
      </c>
      <c r="F100" s="135"/>
      <c r="G100" s="135"/>
      <c r="H100" s="36"/>
      <c r="I100" s="36">
        <v>1</v>
      </c>
      <c r="J100" s="36"/>
      <c r="K100" s="36"/>
      <c r="L100" s="32">
        <f t="shared" si="39"/>
        <v>1</v>
      </c>
      <c r="M100" s="36"/>
      <c r="N100" s="36">
        <v>2</v>
      </c>
      <c r="O100" s="36"/>
      <c r="P100" s="36"/>
      <c r="Q100" s="32">
        <f t="shared" si="40"/>
        <v>2</v>
      </c>
      <c r="R100" s="36"/>
      <c r="S100" s="36">
        <v>2</v>
      </c>
      <c r="T100" s="36"/>
      <c r="U100" s="36"/>
      <c r="V100" s="32">
        <v>2</v>
      </c>
      <c r="W100" s="36"/>
      <c r="X100" s="36">
        <v>0</v>
      </c>
      <c r="Y100" s="36"/>
      <c r="Z100" s="36"/>
      <c r="AA100" s="188">
        <f t="shared" si="42"/>
        <v>0</v>
      </c>
      <c r="AB100" s="36"/>
      <c r="AC100" s="36">
        <f t="shared" ref="AC99:AC104" si="69">S100+I100</f>
        <v>3</v>
      </c>
      <c r="AD100" s="36"/>
      <c r="AE100" s="36"/>
      <c r="AF100" s="32">
        <v>2</v>
      </c>
      <c r="AG100" s="36"/>
      <c r="AH100" s="36">
        <f t="shared" ref="AH99:AH104" si="70">X100+N100</f>
        <v>2</v>
      </c>
      <c r="AI100" s="36"/>
      <c r="AJ100" s="36"/>
      <c r="AK100" s="188">
        <f t="shared" si="38"/>
        <v>2</v>
      </c>
      <c r="AL100" s="168">
        <v>3</v>
      </c>
      <c r="AM100" s="168">
        <v>2</v>
      </c>
      <c r="AN100" s="169">
        <v>5</v>
      </c>
      <c r="AO100" s="61" t="s">
        <v>324</v>
      </c>
      <c r="AP100" s="116"/>
      <c r="AQ100" s="116"/>
      <c r="AR100" s="116"/>
      <c r="AS100" s="116"/>
      <c r="AT100" s="116"/>
      <c r="AU100" s="116"/>
      <c r="AV100" s="116"/>
      <c r="AW100" s="116"/>
      <c r="AX100" s="116"/>
      <c r="AY100" s="116"/>
      <c r="AZ100" s="116"/>
      <c r="BA100" s="116"/>
      <c r="BB100" s="116"/>
      <c r="BC100" s="116"/>
      <c r="BD100" s="116"/>
      <c r="BE100" s="116"/>
      <c r="BF100" s="116"/>
    </row>
    <row r="101" spans="1:58" ht="70.95" customHeight="1">
      <c r="A101" s="112" t="s">
        <v>325</v>
      </c>
      <c r="B101" s="29" t="s">
        <v>326</v>
      </c>
      <c r="C101" s="38" t="s">
        <v>327</v>
      </c>
      <c r="D101" s="135"/>
      <c r="E101" s="10" t="s">
        <v>18</v>
      </c>
      <c r="F101" s="135"/>
      <c r="G101" s="135"/>
      <c r="H101" s="36"/>
      <c r="I101" s="36">
        <v>2</v>
      </c>
      <c r="J101" s="36"/>
      <c r="K101" s="36"/>
      <c r="L101" s="32">
        <f t="shared" si="39"/>
        <v>2</v>
      </c>
      <c r="M101" s="36"/>
      <c r="N101" s="36">
        <v>2</v>
      </c>
      <c r="O101" s="36"/>
      <c r="P101" s="36"/>
      <c r="Q101" s="32">
        <f t="shared" si="40"/>
        <v>2</v>
      </c>
      <c r="R101" s="36"/>
      <c r="S101" s="36">
        <v>2</v>
      </c>
      <c r="T101" s="36"/>
      <c r="U101" s="36"/>
      <c r="V101" s="32">
        <f t="shared" si="41"/>
        <v>2</v>
      </c>
      <c r="W101" s="36"/>
      <c r="X101" s="36">
        <v>2</v>
      </c>
      <c r="Y101" s="36"/>
      <c r="Z101" s="36"/>
      <c r="AA101" s="188">
        <f t="shared" si="42"/>
        <v>2</v>
      </c>
      <c r="AB101" s="36"/>
      <c r="AC101" s="36">
        <v>2</v>
      </c>
      <c r="AD101" s="36"/>
      <c r="AE101" s="36"/>
      <c r="AF101" s="32">
        <f t="shared" ref="AF101:AF104" si="71">SUM(AB101:AE101)</f>
        <v>2</v>
      </c>
      <c r="AG101" s="36"/>
      <c r="AH101" s="36">
        <v>2</v>
      </c>
      <c r="AI101" s="36"/>
      <c r="AJ101" s="36"/>
      <c r="AK101" s="188">
        <f t="shared" si="38"/>
        <v>2</v>
      </c>
      <c r="AL101" s="168">
        <v>2</v>
      </c>
      <c r="AM101" s="33">
        <v>2</v>
      </c>
      <c r="AN101" s="169">
        <v>4</v>
      </c>
      <c r="AO101" s="61" t="s">
        <v>328</v>
      </c>
      <c r="AP101" s="116"/>
      <c r="AQ101" s="116"/>
      <c r="AR101" s="116"/>
      <c r="AS101" s="116"/>
      <c r="AT101" s="116"/>
      <c r="AU101" s="116"/>
      <c r="AV101" s="116"/>
      <c r="AW101" s="116"/>
      <c r="AX101" s="116"/>
      <c r="AY101" s="116"/>
      <c r="AZ101" s="116"/>
      <c r="BA101" s="116"/>
      <c r="BB101" s="116"/>
      <c r="BC101" s="116"/>
      <c r="BD101" s="116"/>
      <c r="BE101" s="116"/>
      <c r="BF101" s="116"/>
    </row>
    <row r="102" spans="1:58" ht="91.2" customHeight="1">
      <c r="A102" s="127" t="s">
        <v>329</v>
      </c>
      <c r="B102" s="46" t="s">
        <v>330</v>
      </c>
      <c r="C102" s="38" t="s">
        <v>331</v>
      </c>
      <c r="D102" s="135"/>
      <c r="E102" s="10" t="s">
        <v>18</v>
      </c>
      <c r="F102" s="135"/>
      <c r="G102" s="135"/>
      <c r="H102" s="36"/>
      <c r="I102" s="36"/>
      <c r="J102" s="36"/>
      <c r="K102" s="36"/>
      <c r="L102" s="32">
        <f t="shared" si="39"/>
        <v>0</v>
      </c>
      <c r="M102" s="36"/>
      <c r="N102" s="36">
        <v>1</v>
      </c>
      <c r="O102" s="36"/>
      <c r="P102" s="36"/>
      <c r="Q102" s="32">
        <f t="shared" si="40"/>
        <v>1</v>
      </c>
      <c r="R102" s="36"/>
      <c r="S102" s="36">
        <v>0</v>
      </c>
      <c r="T102" s="36"/>
      <c r="U102" s="36"/>
      <c r="V102" s="32">
        <f t="shared" si="41"/>
        <v>0</v>
      </c>
      <c r="W102" s="36"/>
      <c r="X102" s="36">
        <v>1</v>
      </c>
      <c r="Y102" s="36"/>
      <c r="Z102" s="36"/>
      <c r="AA102" s="188">
        <f t="shared" si="42"/>
        <v>1</v>
      </c>
      <c r="AB102" s="36"/>
      <c r="AC102" s="36">
        <f t="shared" si="69"/>
        <v>0</v>
      </c>
      <c r="AD102" s="36"/>
      <c r="AE102" s="36"/>
      <c r="AF102" s="32">
        <f t="shared" si="71"/>
        <v>0</v>
      </c>
      <c r="AG102" s="36"/>
      <c r="AH102" s="36">
        <f t="shared" si="70"/>
        <v>2</v>
      </c>
      <c r="AI102" s="36"/>
      <c r="AJ102" s="36"/>
      <c r="AK102" s="188">
        <f t="shared" si="38"/>
        <v>2</v>
      </c>
      <c r="AL102" s="168">
        <f>V102+L102</f>
        <v>0</v>
      </c>
      <c r="AM102" s="33">
        <f>AA102+Q102</f>
        <v>2</v>
      </c>
      <c r="AN102" s="169">
        <f>SUM(L102,Q102,V102,AA102)</f>
        <v>2</v>
      </c>
      <c r="AO102" s="64" t="s">
        <v>332</v>
      </c>
      <c r="AP102" s="116"/>
      <c r="AQ102" s="116"/>
      <c r="AR102" s="116"/>
      <c r="AS102" s="116"/>
      <c r="AT102" s="116"/>
      <c r="AU102" s="116"/>
      <c r="AV102" s="116"/>
      <c r="AW102" s="116"/>
      <c r="AX102" s="116"/>
      <c r="AY102" s="116"/>
      <c r="AZ102" s="116"/>
      <c r="BA102" s="116"/>
      <c r="BB102" s="116"/>
      <c r="BC102" s="116"/>
      <c r="BD102" s="116"/>
      <c r="BE102" s="116"/>
      <c r="BF102" s="116"/>
    </row>
    <row r="103" spans="1:58" ht="84">
      <c r="A103" s="112" t="s">
        <v>333</v>
      </c>
      <c r="B103" s="29" t="s">
        <v>334</v>
      </c>
      <c r="C103" s="38" t="s">
        <v>335</v>
      </c>
      <c r="D103" s="135"/>
      <c r="E103" s="10" t="s">
        <v>18</v>
      </c>
      <c r="F103" s="135"/>
      <c r="G103" s="135"/>
      <c r="H103" s="36"/>
      <c r="I103" s="36">
        <v>0</v>
      </c>
      <c r="J103" s="36"/>
      <c r="K103" s="36"/>
      <c r="L103" s="32">
        <f t="shared" si="39"/>
        <v>0</v>
      </c>
      <c r="M103" s="36"/>
      <c r="N103" s="36">
        <v>0</v>
      </c>
      <c r="O103" s="36"/>
      <c r="P103" s="36"/>
      <c r="Q103" s="32">
        <f t="shared" si="40"/>
        <v>0</v>
      </c>
      <c r="R103" s="36"/>
      <c r="S103" s="36">
        <v>2</v>
      </c>
      <c r="T103" s="36"/>
      <c r="U103" s="36"/>
      <c r="V103" s="32">
        <f t="shared" si="41"/>
        <v>2</v>
      </c>
      <c r="W103" s="36"/>
      <c r="X103" s="36">
        <v>2</v>
      </c>
      <c r="Y103" s="36"/>
      <c r="Z103" s="36"/>
      <c r="AA103" s="188">
        <f t="shared" si="42"/>
        <v>2</v>
      </c>
      <c r="AB103" s="36"/>
      <c r="AC103" s="36">
        <f t="shared" si="69"/>
        <v>2</v>
      </c>
      <c r="AD103" s="36"/>
      <c r="AE103" s="36"/>
      <c r="AF103" s="32">
        <f t="shared" si="71"/>
        <v>2</v>
      </c>
      <c r="AG103" s="36"/>
      <c r="AH103" s="36">
        <f t="shared" si="70"/>
        <v>2</v>
      </c>
      <c r="AI103" s="36"/>
      <c r="AJ103" s="36"/>
      <c r="AK103" s="188">
        <f t="shared" si="38"/>
        <v>2</v>
      </c>
      <c r="AL103" s="168">
        <f>V103+L103</f>
        <v>2</v>
      </c>
      <c r="AM103" s="33">
        <f>AA103+Q103</f>
        <v>2</v>
      </c>
      <c r="AN103" s="169">
        <f>SUM(L103,Q103,V103,AA103)</f>
        <v>4</v>
      </c>
      <c r="AO103" s="64" t="s">
        <v>336</v>
      </c>
      <c r="AP103" s="116"/>
      <c r="AQ103" s="116"/>
      <c r="AR103" s="116"/>
      <c r="AS103" s="116"/>
      <c r="AT103" s="116"/>
      <c r="AU103" s="116"/>
      <c r="AV103" s="116"/>
      <c r="AW103" s="116"/>
      <c r="AX103" s="116"/>
      <c r="AY103" s="116"/>
      <c r="AZ103" s="116"/>
      <c r="BA103" s="116"/>
      <c r="BB103" s="116"/>
      <c r="BC103" s="116"/>
      <c r="BD103" s="116"/>
      <c r="BE103" s="116"/>
      <c r="BF103" s="116"/>
    </row>
    <row r="104" spans="1:58" ht="43.5" customHeight="1">
      <c r="A104" s="125" t="s">
        <v>337</v>
      </c>
      <c r="B104" s="30" t="s">
        <v>338</v>
      </c>
      <c r="C104" s="99" t="s">
        <v>339</v>
      </c>
      <c r="D104" s="136"/>
      <c r="E104" s="6" t="s">
        <v>18</v>
      </c>
      <c r="F104" s="136"/>
      <c r="G104" s="136"/>
      <c r="H104" s="44"/>
      <c r="I104" s="44">
        <v>38</v>
      </c>
      <c r="J104" s="44"/>
      <c r="K104" s="44"/>
      <c r="L104" s="58">
        <f t="shared" si="39"/>
        <v>38</v>
      </c>
      <c r="M104" s="44"/>
      <c r="N104" s="44">
        <v>36</v>
      </c>
      <c r="O104" s="44"/>
      <c r="P104" s="44"/>
      <c r="Q104" s="58">
        <f t="shared" si="40"/>
        <v>36</v>
      </c>
      <c r="R104" s="44"/>
      <c r="S104" s="204">
        <f>92+15+10</f>
        <v>117</v>
      </c>
      <c r="T104" s="44"/>
      <c r="U104" s="44"/>
      <c r="V104" s="58">
        <f t="shared" si="41"/>
        <v>117</v>
      </c>
      <c r="W104" s="44"/>
      <c r="X104" s="44">
        <v>110</v>
      </c>
      <c r="Y104" s="44"/>
      <c r="Z104" s="44"/>
      <c r="AA104" s="190">
        <f t="shared" si="42"/>
        <v>110</v>
      </c>
      <c r="AB104" s="36"/>
      <c r="AC104" s="36">
        <f t="shared" si="69"/>
        <v>155</v>
      </c>
      <c r="AD104" s="36"/>
      <c r="AE104" s="36"/>
      <c r="AF104" s="58">
        <f t="shared" si="71"/>
        <v>155</v>
      </c>
      <c r="AG104" s="36"/>
      <c r="AH104" s="36">
        <f t="shared" si="70"/>
        <v>146</v>
      </c>
      <c r="AI104" s="36"/>
      <c r="AJ104" s="36"/>
      <c r="AK104" s="190">
        <f t="shared" si="38"/>
        <v>146</v>
      </c>
      <c r="AL104" s="172">
        <f>V104+L104</f>
        <v>155</v>
      </c>
      <c r="AM104" s="59">
        <f>AA104+Q104</f>
        <v>146</v>
      </c>
      <c r="AN104" s="173">
        <f>SUM(L104,Q104,V104,AA104)</f>
        <v>301</v>
      </c>
      <c r="AO104" s="102" t="s">
        <v>340</v>
      </c>
      <c r="AP104" s="116"/>
      <c r="AQ104" s="116"/>
      <c r="AR104" s="116"/>
      <c r="AS104" s="116"/>
      <c r="AT104" s="116"/>
      <c r="AU104" s="116"/>
      <c r="AV104" s="116"/>
      <c r="AW104" s="116"/>
      <c r="AX104" s="116"/>
      <c r="AY104" s="116"/>
      <c r="AZ104" s="116"/>
      <c r="BA104" s="116"/>
      <c r="BB104" s="116"/>
      <c r="BC104" s="116"/>
      <c r="BD104" s="116"/>
      <c r="BE104" s="116"/>
      <c r="BF104" s="116"/>
    </row>
    <row r="105" spans="1:58" ht="15.45" customHeight="1">
      <c r="A105" s="228" t="s">
        <v>341</v>
      </c>
      <c r="B105" s="229"/>
      <c r="C105" s="92"/>
      <c r="D105" s="5" t="s">
        <v>17</v>
      </c>
      <c r="E105" s="6" t="s">
        <v>18</v>
      </c>
      <c r="F105" s="7" t="s">
        <v>19</v>
      </c>
      <c r="G105" s="8" t="s">
        <v>20</v>
      </c>
      <c r="H105" s="83"/>
      <c r="I105" s="83"/>
      <c r="J105" s="83"/>
      <c r="K105" s="83"/>
      <c r="L105" s="83"/>
      <c r="M105" s="83"/>
      <c r="N105" s="82"/>
      <c r="O105" s="82"/>
      <c r="P105" s="82"/>
      <c r="Q105" s="83"/>
      <c r="R105" s="82"/>
      <c r="S105" s="82"/>
      <c r="T105" s="82"/>
      <c r="U105" s="82"/>
      <c r="V105" s="83"/>
      <c r="W105" s="82"/>
      <c r="X105" s="82"/>
      <c r="Y105" s="82"/>
      <c r="Z105" s="82"/>
      <c r="AA105" s="83"/>
      <c r="AB105" s="82"/>
      <c r="AC105" s="82"/>
      <c r="AD105" s="82"/>
      <c r="AE105" s="82"/>
      <c r="AF105" s="83"/>
      <c r="AG105" s="82"/>
      <c r="AH105" s="82"/>
      <c r="AI105" s="82"/>
      <c r="AJ105" s="82"/>
      <c r="AK105" s="83"/>
      <c r="AL105" s="174"/>
      <c r="AM105" s="81"/>
      <c r="AN105" s="178"/>
      <c r="AO105" s="68"/>
      <c r="AP105" s="116"/>
      <c r="AQ105" s="116"/>
      <c r="AR105" s="116"/>
      <c r="AS105" s="116"/>
      <c r="AT105" s="116"/>
      <c r="AU105" s="116"/>
      <c r="AV105" s="116"/>
      <c r="AW105" s="116"/>
      <c r="AX105" s="116"/>
      <c r="AY105" s="116"/>
      <c r="AZ105" s="116"/>
      <c r="BA105" s="116"/>
      <c r="BB105" s="116"/>
      <c r="BC105" s="116"/>
      <c r="BD105" s="116"/>
      <c r="BE105" s="116"/>
      <c r="BF105" s="116"/>
    </row>
    <row r="106" spans="1:58" ht="43.5" customHeight="1">
      <c r="A106" s="230" t="s">
        <v>342</v>
      </c>
      <c r="B106" s="86" t="s">
        <v>343</v>
      </c>
      <c r="C106" s="41" t="s">
        <v>344</v>
      </c>
      <c r="D106" s="137" t="s">
        <v>17</v>
      </c>
      <c r="E106" s="138"/>
      <c r="F106" s="138"/>
      <c r="G106" s="140" t="s">
        <v>20</v>
      </c>
      <c r="H106" s="103"/>
      <c r="I106" s="103"/>
      <c r="J106" s="209"/>
      <c r="K106" s="209"/>
      <c r="L106" s="210">
        <f t="shared" si="39"/>
        <v>0</v>
      </c>
      <c r="M106" s="209"/>
      <c r="N106" s="209"/>
      <c r="O106" s="209"/>
      <c r="P106" s="209"/>
      <c r="Q106" s="210">
        <f t="shared" si="40"/>
        <v>0</v>
      </c>
      <c r="R106" s="213">
        <v>0.8</v>
      </c>
      <c r="S106" s="213"/>
      <c r="T106" s="213"/>
      <c r="U106" s="213">
        <v>0.8</v>
      </c>
      <c r="V106" s="214">
        <f>AVERAGE(R106:U106)</f>
        <v>0.8</v>
      </c>
      <c r="W106" s="213">
        <v>0.8</v>
      </c>
      <c r="X106" s="213"/>
      <c r="Y106" s="213"/>
      <c r="Z106" s="213">
        <v>0.8</v>
      </c>
      <c r="AA106" s="215">
        <f>AVERAGE(W106:Z106)</f>
        <v>0.8</v>
      </c>
      <c r="AB106" s="213">
        <v>0.8</v>
      </c>
      <c r="AC106" s="213"/>
      <c r="AD106" s="213"/>
      <c r="AE106" s="213">
        <v>0.8</v>
      </c>
      <c r="AF106" s="214">
        <f>AVERAGE(AB106:AE106)</f>
        <v>0.8</v>
      </c>
      <c r="AG106" s="213">
        <v>0.8</v>
      </c>
      <c r="AH106" s="213"/>
      <c r="AI106" s="213"/>
      <c r="AJ106" s="213">
        <v>0.8</v>
      </c>
      <c r="AK106" s="215">
        <f>AVERAGE(AG106:AJ106)</f>
        <v>0.8</v>
      </c>
      <c r="AL106" s="164">
        <v>0.8</v>
      </c>
      <c r="AM106" s="90">
        <v>0.8</v>
      </c>
      <c r="AN106" s="165">
        <v>0.8</v>
      </c>
      <c r="AO106" s="91" t="s">
        <v>345</v>
      </c>
      <c r="AP106" s="116"/>
      <c r="AQ106" s="116"/>
      <c r="AR106" s="116"/>
      <c r="AS106" s="116"/>
      <c r="AT106" s="116"/>
      <c r="AU106" s="116"/>
      <c r="AV106" s="116"/>
      <c r="AW106" s="116"/>
      <c r="AX106" s="116"/>
      <c r="AY106" s="116"/>
      <c r="AZ106" s="116"/>
      <c r="BA106" s="116"/>
      <c r="BB106" s="116"/>
      <c r="BC106" s="116"/>
      <c r="BD106" s="116"/>
      <c r="BE106" s="116"/>
      <c r="BF106" s="116"/>
    </row>
    <row r="107" spans="1:58" ht="43.5" customHeight="1">
      <c r="A107" s="226"/>
      <c r="B107" s="29" t="s">
        <v>346</v>
      </c>
      <c r="C107" s="38" t="s">
        <v>347</v>
      </c>
      <c r="D107" s="9" t="s">
        <v>17</v>
      </c>
      <c r="E107" s="135"/>
      <c r="F107" s="135"/>
      <c r="G107" s="142" t="s">
        <v>20</v>
      </c>
      <c r="H107" s="51"/>
      <c r="I107" s="51"/>
      <c r="J107" s="211"/>
      <c r="K107" s="211"/>
      <c r="L107" s="49">
        <f t="shared" si="39"/>
        <v>0</v>
      </c>
      <c r="M107" s="211"/>
      <c r="N107" s="211"/>
      <c r="O107" s="211"/>
      <c r="P107" s="211"/>
      <c r="Q107" s="49">
        <f t="shared" si="40"/>
        <v>0</v>
      </c>
      <c r="R107" s="213">
        <v>0.8</v>
      </c>
      <c r="S107" s="213"/>
      <c r="T107" s="213"/>
      <c r="U107" s="213">
        <v>0.8</v>
      </c>
      <c r="V107" s="214">
        <f t="shared" ref="V107:V112" si="72">AVERAGE(R107:U107)</f>
        <v>0.8</v>
      </c>
      <c r="W107" s="213">
        <v>0.8</v>
      </c>
      <c r="X107" s="213"/>
      <c r="Y107" s="213"/>
      <c r="Z107" s="213">
        <v>0.8</v>
      </c>
      <c r="AA107" s="215">
        <f t="shared" ref="AA107:AA112" si="73">AVERAGE(W107:Z107)</f>
        <v>0.8</v>
      </c>
      <c r="AB107" s="213">
        <v>0.8</v>
      </c>
      <c r="AC107" s="213"/>
      <c r="AD107" s="213"/>
      <c r="AE107" s="213">
        <v>0.8</v>
      </c>
      <c r="AF107" s="214">
        <f t="shared" ref="AF107:AF112" si="74">AVERAGE(AB107:AE107)</f>
        <v>0.8</v>
      </c>
      <c r="AG107" s="213">
        <v>0.8</v>
      </c>
      <c r="AH107" s="213"/>
      <c r="AI107" s="213"/>
      <c r="AJ107" s="213">
        <v>0.8</v>
      </c>
      <c r="AK107" s="215">
        <f t="shared" ref="AK107:AK112" si="75">AVERAGE(AG107:AJ107)</f>
        <v>0.8</v>
      </c>
      <c r="AL107" s="164">
        <v>0.8</v>
      </c>
      <c r="AM107" s="90">
        <v>0.8</v>
      </c>
      <c r="AN107" s="167">
        <v>0.8</v>
      </c>
      <c r="AO107" s="61" t="s">
        <v>348</v>
      </c>
      <c r="AP107" s="116"/>
      <c r="AQ107" s="116"/>
      <c r="AR107" s="116"/>
      <c r="AS107" s="116"/>
      <c r="AT107" s="116"/>
      <c r="AU107" s="116"/>
      <c r="AV107" s="116"/>
      <c r="AW107" s="116"/>
      <c r="AX107" s="116"/>
      <c r="AY107" s="116"/>
      <c r="AZ107" s="116"/>
      <c r="BA107" s="116"/>
      <c r="BB107" s="116"/>
      <c r="BC107" s="116"/>
      <c r="BD107" s="116"/>
      <c r="BE107" s="116"/>
      <c r="BF107" s="116"/>
    </row>
    <row r="108" spans="1:58" ht="43.5" customHeight="1">
      <c r="A108" s="226"/>
      <c r="B108" s="29" t="s">
        <v>349</v>
      </c>
      <c r="C108" s="38" t="s">
        <v>350</v>
      </c>
      <c r="D108" s="9" t="s">
        <v>17</v>
      </c>
      <c r="E108" s="135"/>
      <c r="F108" s="135"/>
      <c r="G108" s="142" t="s">
        <v>20</v>
      </c>
      <c r="H108" s="51"/>
      <c r="I108" s="51"/>
      <c r="J108" s="211"/>
      <c r="K108" s="211"/>
      <c r="L108" s="49">
        <f t="shared" si="39"/>
        <v>0</v>
      </c>
      <c r="M108" s="211"/>
      <c r="N108" s="211"/>
      <c r="O108" s="211"/>
      <c r="P108" s="212"/>
      <c r="Q108" s="49">
        <f t="shared" si="40"/>
        <v>0</v>
      </c>
      <c r="R108" s="216">
        <v>0.7</v>
      </c>
      <c r="S108" s="216"/>
      <c r="T108" s="216"/>
      <c r="U108" s="216">
        <v>0.7</v>
      </c>
      <c r="V108" s="214">
        <f t="shared" si="72"/>
        <v>0.7</v>
      </c>
      <c r="W108" s="216">
        <v>0.7</v>
      </c>
      <c r="X108" s="216"/>
      <c r="Y108" s="216"/>
      <c r="Z108" s="216">
        <v>0.7</v>
      </c>
      <c r="AA108" s="215">
        <f t="shared" si="73"/>
        <v>0.7</v>
      </c>
      <c r="AB108" s="216">
        <v>0.7</v>
      </c>
      <c r="AC108" s="216"/>
      <c r="AD108" s="216"/>
      <c r="AE108" s="216">
        <v>0.7</v>
      </c>
      <c r="AF108" s="214">
        <f t="shared" si="74"/>
        <v>0.7</v>
      </c>
      <c r="AG108" s="216">
        <v>0.7</v>
      </c>
      <c r="AH108" s="216"/>
      <c r="AI108" s="216"/>
      <c r="AJ108" s="216">
        <v>0.7</v>
      </c>
      <c r="AK108" s="215">
        <f t="shared" si="75"/>
        <v>0.7</v>
      </c>
      <c r="AL108" s="166">
        <v>0.7</v>
      </c>
      <c r="AM108" s="34">
        <v>0.7</v>
      </c>
      <c r="AN108" s="167">
        <v>0.7</v>
      </c>
      <c r="AO108" s="61" t="s">
        <v>351</v>
      </c>
      <c r="AP108" s="116"/>
      <c r="AQ108" s="116"/>
      <c r="AR108" s="116"/>
      <c r="AS108" s="116"/>
      <c r="AT108" s="116"/>
      <c r="AU108" s="116"/>
      <c r="AV108" s="116"/>
      <c r="AW108" s="116"/>
      <c r="AX108" s="116"/>
      <c r="AY108" s="116"/>
      <c r="AZ108" s="116"/>
      <c r="BA108" s="116"/>
      <c r="BB108" s="116"/>
      <c r="BC108" s="116"/>
      <c r="BD108" s="116"/>
      <c r="BE108" s="116"/>
      <c r="BF108" s="116"/>
    </row>
    <row r="109" spans="1:58" ht="43.5" customHeight="1">
      <c r="A109" s="226"/>
      <c r="B109" s="29" t="s">
        <v>352</v>
      </c>
      <c r="C109" s="38" t="s">
        <v>353</v>
      </c>
      <c r="D109" s="9" t="s">
        <v>17</v>
      </c>
      <c r="E109" s="135"/>
      <c r="F109" s="135"/>
      <c r="G109" s="142" t="s">
        <v>20</v>
      </c>
      <c r="H109" s="51"/>
      <c r="I109" s="51"/>
      <c r="J109" s="211"/>
      <c r="K109" s="211"/>
      <c r="L109" s="49">
        <f t="shared" si="39"/>
        <v>0</v>
      </c>
      <c r="M109" s="211"/>
      <c r="N109" s="211"/>
      <c r="O109" s="211"/>
      <c r="P109" s="212"/>
      <c r="Q109" s="49">
        <f t="shared" si="40"/>
        <v>0</v>
      </c>
      <c r="R109" s="216">
        <v>0.7</v>
      </c>
      <c r="S109" s="216"/>
      <c r="T109" s="216"/>
      <c r="U109" s="216">
        <v>0.7</v>
      </c>
      <c r="V109" s="214">
        <f t="shared" si="72"/>
        <v>0.7</v>
      </c>
      <c r="W109" s="216">
        <v>0.7</v>
      </c>
      <c r="X109" s="216"/>
      <c r="Y109" s="216"/>
      <c r="Z109" s="216">
        <v>0.7</v>
      </c>
      <c r="AA109" s="215">
        <f t="shared" si="73"/>
        <v>0.7</v>
      </c>
      <c r="AB109" s="216">
        <v>0.7</v>
      </c>
      <c r="AC109" s="216"/>
      <c r="AD109" s="216"/>
      <c r="AE109" s="216">
        <v>0.7</v>
      </c>
      <c r="AF109" s="214">
        <f t="shared" si="74"/>
        <v>0.7</v>
      </c>
      <c r="AG109" s="216">
        <v>0.7</v>
      </c>
      <c r="AH109" s="216"/>
      <c r="AI109" s="216"/>
      <c r="AJ109" s="216">
        <v>0.7</v>
      </c>
      <c r="AK109" s="215">
        <f t="shared" si="75"/>
        <v>0.7</v>
      </c>
      <c r="AL109" s="166">
        <v>0.7</v>
      </c>
      <c r="AM109" s="34">
        <v>0.7</v>
      </c>
      <c r="AN109" s="167">
        <v>0.7</v>
      </c>
      <c r="AO109" s="61" t="s">
        <v>354</v>
      </c>
      <c r="AP109" s="116"/>
      <c r="AQ109" s="116"/>
      <c r="AR109" s="116"/>
      <c r="AS109" s="116"/>
      <c r="AT109" s="116"/>
      <c r="AU109" s="116"/>
      <c r="AV109" s="116"/>
      <c r="AW109" s="116"/>
      <c r="AX109" s="116"/>
      <c r="AY109" s="116"/>
      <c r="AZ109" s="116"/>
      <c r="BA109" s="116"/>
      <c r="BB109" s="116"/>
      <c r="BC109" s="116"/>
      <c r="BD109" s="116"/>
      <c r="BE109" s="116"/>
      <c r="BF109" s="116"/>
    </row>
    <row r="110" spans="1:58" ht="43.5" customHeight="1">
      <c r="A110" s="226"/>
      <c r="B110" s="29" t="s">
        <v>355</v>
      </c>
      <c r="C110" s="38" t="s">
        <v>356</v>
      </c>
      <c r="D110" s="9" t="s">
        <v>17</v>
      </c>
      <c r="E110" s="135"/>
      <c r="F110" s="135"/>
      <c r="G110" s="142" t="s">
        <v>20</v>
      </c>
      <c r="H110" s="51"/>
      <c r="I110" s="51"/>
      <c r="J110" s="211"/>
      <c r="K110" s="211"/>
      <c r="L110" s="49">
        <f t="shared" si="39"/>
        <v>0</v>
      </c>
      <c r="M110" s="211"/>
      <c r="N110" s="211"/>
      <c r="O110" s="211"/>
      <c r="P110" s="212"/>
      <c r="Q110" s="49">
        <f t="shared" si="40"/>
        <v>0</v>
      </c>
      <c r="R110" s="216">
        <v>0.7</v>
      </c>
      <c r="S110" s="216"/>
      <c r="T110" s="216"/>
      <c r="U110" s="216">
        <v>0.7</v>
      </c>
      <c r="V110" s="214">
        <f t="shared" si="72"/>
        <v>0.7</v>
      </c>
      <c r="W110" s="216">
        <v>0.7</v>
      </c>
      <c r="X110" s="216"/>
      <c r="Y110" s="216"/>
      <c r="Z110" s="216">
        <v>0.7</v>
      </c>
      <c r="AA110" s="215">
        <f t="shared" si="73"/>
        <v>0.7</v>
      </c>
      <c r="AB110" s="216">
        <v>0.7</v>
      </c>
      <c r="AC110" s="216"/>
      <c r="AD110" s="216"/>
      <c r="AE110" s="216">
        <v>0.7</v>
      </c>
      <c r="AF110" s="214">
        <f t="shared" si="74"/>
        <v>0.7</v>
      </c>
      <c r="AG110" s="216">
        <v>0.7</v>
      </c>
      <c r="AH110" s="216"/>
      <c r="AI110" s="216"/>
      <c r="AJ110" s="216">
        <v>0.7</v>
      </c>
      <c r="AK110" s="215">
        <f t="shared" si="75"/>
        <v>0.7</v>
      </c>
      <c r="AL110" s="166">
        <v>0.7</v>
      </c>
      <c r="AM110" s="34">
        <v>0.7</v>
      </c>
      <c r="AN110" s="167">
        <v>0.7</v>
      </c>
      <c r="AO110" s="61" t="s">
        <v>357</v>
      </c>
      <c r="AP110" s="116"/>
      <c r="AQ110" s="116"/>
      <c r="AR110" s="116"/>
      <c r="AS110" s="116"/>
      <c r="AT110" s="116"/>
      <c r="AU110" s="116"/>
      <c r="AV110" s="116"/>
      <c r="AW110" s="116"/>
      <c r="AX110" s="116"/>
      <c r="AY110" s="116"/>
      <c r="AZ110" s="116"/>
      <c r="BA110" s="116"/>
      <c r="BB110" s="116"/>
      <c r="BC110" s="116"/>
      <c r="BD110" s="116"/>
      <c r="BE110" s="116"/>
      <c r="BF110" s="116"/>
    </row>
    <row r="111" spans="1:58" ht="43.5" customHeight="1">
      <c r="A111" s="227" t="s">
        <v>358</v>
      </c>
      <c r="B111" s="29" t="s">
        <v>359</v>
      </c>
      <c r="C111" s="38" t="s">
        <v>360</v>
      </c>
      <c r="D111" s="135"/>
      <c r="E111" s="135"/>
      <c r="F111" s="135"/>
      <c r="G111" s="142" t="s">
        <v>20</v>
      </c>
      <c r="H111" s="51"/>
      <c r="I111" s="51"/>
      <c r="J111" s="211"/>
      <c r="K111" s="211"/>
      <c r="L111" s="49">
        <f t="shared" si="39"/>
        <v>0</v>
      </c>
      <c r="M111" s="211"/>
      <c r="N111" s="211"/>
      <c r="O111" s="211"/>
      <c r="P111" s="212"/>
      <c r="Q111" s="49">
        <f t="shared" si="40"/>
        <v>0</v>
      </c>
      <c r="R111" s="213">
        <v>0.8</v>
      </c>
      <c r="S111" s="213"/>
      <c r="T111" s="213"/>
      <c r="U111" s="213">
        <v>0.8</v>
      </c>
      <c r="V111" s="214">
        <f t="shared" si="72"/>
        <v>0.8</v>
      </c>
      <c r="W111" s="213">
        <v>0.8</v>
      </c>
      <c r="X111" s="213"/>
      <c r="Y111" s="213"/>
      <c r="Z111" s="213">
        <v>0.8</v>
      </c>
      <c r="AA111" s="215">
        <f t="shared" si="73"/>
        <v>0.8</v>
      </c>
      <c r="AB111" s="213">
        <v>0.8</v>
      </c>
      <c r="AC111" s="213"/>
      <c r="AD111" s="213"/>
      <c r="AE111" s="213">
        <v>0.8</v>
      </c>
      <c r="AF111" s="214">
        <f t="shared" si="74"/>
        <v>0.8</v>
      </c>
      <c r="AG111" s="213">
        <v>0.8</v>
      </c>
      <c r="AH111" s="213"/>
      <c r="AI111" s="213"/>
      <c r="AJ111" s="213">
        <v>0.8</v>
      </c>
      <c r="AK111" s="215">
        <f t="shared" si="75"/>
        <v>0.8</v>
      </c>
      <c r="AL111" s="166">
        <v>0.8</v>
      </c>
      <c r="AM111" s="34">
        <v>0.8</v>
      </c>
      <c r="AN111" s="167">
        <v>0.8</v>
      </c>
      <c r="AO111" s="61" t="s">
        <v>361</v>
      </c>
      <c r="AP111" s="116"/>
      <c r="AQ111" s="116"/>
      <c r="AR111" s="116"/>
      <c r="AS111" s="116"/>
      <c r="AT111" s="116"/>
      <c r="AU111" s="116"/>
      <c r="AV111" s="116"/>
      <c r="AW111" s="116"/>
      <c r="AX111" s="116"/>
      <c r="AY111" s="116"/>
      <c r="AZ111" s="116"/>
      <c r="BA111" s="116"/>
      <c r="BB111" s="116"/>
      <c r="BC111" s="116"/>
      <c r="BD111" s="116"/>
      <c r="BE111" s="116"/>
      <c r="BF111" s="116"/>
    </row>
    <row r="112" spans="1:58" ht="43.5" customHeight="1">
      <c r="A112" s="227"/>
      <c r="B112" s="52" t="s">
        <v>362</v>
      </c>
      <c r="C112" s="53" t="s">
        <v>363</v>
      </c>
      <c r="D112" s="135"/>
      <c r="E112" s="135"/>
      <c r="F112" s="135"/>
      <c r="G112" s="142" t="s">
        <v>20</v>
      </c>
      <c r="H112" s="51"/>
      <c r="I112" s="51"/>
      <c r="J112" s="211"/>
      <c r="K112" s="211"/>
      <c r="L112" s="49">
        <f t="shared" si="39"/>
        <v>0</v>
      </c>
      <c r="M112" s="211"/>
      <c r="N112" s="211"/>
      <c r="O112" s="211"/>
      <c r="P112" s="212"/>
      <c r="Q112" s="49">
        <f t="shared" si="40"/>
        <v>0</v>
      </c>
      <c r="R112" s="213">
        <v>0.8</v>
      </c>
      <c r="S112" s="213"/>
      <c r="T112" s="213"/>
      <c r="U112" s="213">
        <v>0.8</v>
      </c>
      <c r="V112" s="214">
        <f t="shared" si="72"/>
        <v>0.8</v>
      </c>
      <c r="W112" s="213">
        <v>0.8</v>
      </c>
      <c r="X112" s="213"/>
      <c r="Y112" s="213"/>
      <c r="Z112" s="213">
        <v>0.8</v>
      </c>
      <c r="AA112" s="215">
        <f t="shared" si="73"/>
        <v>0.8</v>
      </c>
      <c r="AB112" s="213">
        <v>0.8</v>
      </c>
      <c r="AC112" s="213"/>
      <c r="AD112" s="213"/>
      <c r="AE112" s="213">
        <v>0.8</v>
      </c>
      <c r="AF112" s="214">
        <f t="shared" si="74"/>
        <v>0.8</v>
      </c>
      <c r="AG112" s="213">
        <v>0.8</v>
      </c>
      <c r="AH112" s="213"/>
      <c r="AI112" s="213"/>
      <c r="AJ112" s="213">
        <v>0.8</v>
      </c>
      <c r="AK112" s="215">
        <f t="shared" si="75"/>
        <v>0.8</v>
      </c>
      <c r="AL112" s="166">
        <v>0.8</v>
      </c>
      <c r="AM112" s="34">
        <v>0.8</v>
      </c>
      <c r="AN112" s="167">
        <v>0.8</v>
      </c>
      <c r="AO112" s="61" t="s">
        <v>364</v>
      </c>
      <c r="AP112" s="116"/>
      <c r="AQ112" s="116"/>
      <c r="AR112" s="116"/>
      <c r="AS112" s="116"/>
      <c r="AT112" s="116"/>
      <c r="AU112" s="116"/>
      <c r="AV112" s="116"/>
      <c r="AW112" s="116"/>
      <c r="AX112" s="116"/>
      <c r="AY112" s="116"/>
      <c r="AZ112" s="116"/>
      <c r="BA112" s="116"/>
      <c r="BB112" s="116"/>
      <c r="BC112" s="116"/>
      <c r="BD112" s="116"/>
      <c r="BE112" s="116"/>
      <c r="BF112" s="116"/>
    </row>
    <row r="113" spans="1:58" ht="43.5" customHeight="1">
      <c r="A113" s="226" t="s">
        <v>365</v>
      </c>
      <c r="B113" s="29" t="s">
        <v>366</v>
      </c>
      <c r="C113" s="53" t="s">
        <v>367</v>
      </c>
      <c r="D113" s="135"/>
      <c r="E113" s="135"/>
      <c r="F113" s="135"/>
      <c r="G113" s="142" t="s">
        <v>20</v>
      </c>
      <c r="H113" s="36"/>
      <c r="I113" s="54"/>
      <c r="J113" s="54"/>
      <c r="K113" s="55">
        <v>1</v>
      </c>
      <c r="L113" s="32">
        <f t="shared" si="39"/>
        <v>1</v>
      </c>
      <c r="M113" s="55"/>
      <c r="N113" s="55"/>
      <c r="O113" s="55"/>
      <c r="P113" s="54">
        <v>5</v>
      </c>
      <c r="Q113" s="32">
        <f t="shared" si="40"/>
        <v>5</v>
      </c>
      <c r="R113" s="36"/>
      <c r="S113" s="54"/>
      <c r="T113" s="54"/>
      <c r="U113" s="54">
        <v>1</v>
      </c>
      <c r="V113" s="32">
        <f t="shared" si="41"/>
        <v>1</v>
      </c>
      <c r="W113" s="55"/>
      <c r="X113" s="55"/>
      <c r="Y113" s="55"/>
      <c r="Z113" s="55"/>
      <c r="AA113" s="188">
        <f t="shared" si="42"/>
        <v>0</v>
      </c>
      <c r="AB113" s="36"/>
      <c r="AC113" s="36"/>
      <c r="AD113" s="36"/>
      <c r="AE113" s="36">
        <f t="shared" ref="AE113" si="76">U113+K113</f>
        <v>2</v>
      </c>
      <c r="AF113" s="32">
        <f t="shared" ref="AF113:AF135" si="77">SUM(AB113:AE113)</f>
        <v>2</v>
      </c>
      <c r="AG113" s="36"/>
      <c r="AH113" s="36"/>
      <c r="AI113" s="36"/>
      <c r="AJ113" s="36">
        <f t="shared" ref="AJ113" si="78">Z113+P113</f>
        <v>5</v>
      </c>
      <c r="AK113" s="188">
        <f t="shared" ref="AK113:AK123" si="79">SUM(AG113:AJ113)</f>
        <v>5</v>
      </c>
      <c r="AL113" s="168">
        <f t="shared" ref="AL113:AL118" si="80">V113+L113</f>
        <v>2</v>
      </c>
      <c r="AM113" s="33">
        <f t="shared" ref="AM113:AM118" si="81">AA113+Q113</f>
        <v>5</v>
      </c>
      <c r="AN113" s="169">
        <f t="shared" ref="AN113:AN118" si="82">SUM(L113,Q113,V113,AA113)</f>
        <v>7</v>
      </c>
      <c r="AO113" s="62" t="s">
        <v>368</v>
      </c>
      <c r="AP113" s="116"/>
      <c r="AQ113" s="116"/>
      <c r="AR113" s="116"/>
      <c r="AS113" s="116"/>
      <c r="AT113" s="116"/>
      <c r="AU113" s="116"/>
      <c r="AV113" s="116"/>
      <c r="AW113" s="116"/>
      <c r="AX113" s="116"/>
      <c r="AY113" s="116"/>
      <c r="AZ113" s="116"/>
      <c r="BA113" s="116"/>
      <c r="BB113" s="116"/>
      <c r="BC113" s="116"/>
      <c r="BD113" s="116"/>
      <c r="BE113" s="116"/>
      <c r="BF113" s="116"/>
    </row>
    <row r="114" spans="1:58" ht="43.5" customHeight="1">
      <c r="A114" s="226"/>
      <c r="B114" s="29" t="s">
        <v>369</v>
      </c>
      <c r="C114" s="53" t="s">
        <v>370</v>
      </c>
      <c r="D114" s="135"/>
      <c r="E114" s="135"/>
      <c r="F114" s="135"/>
      <c r="G114" s="142" t="s">
        <v>20</v>
      </c>
      <c r="H114" s="36"/>
      <c r="I114" s="54"/>
      <c r="J114" s="54"/>
      <c r="K114" s="54">
        <v>20</v>
      </c>
      <c r="L114" s="32">
        <f t="shared" si="39"/>
        <v>20</v>
      </c>
      <c r="M114" s="55"/>
      <c r="N114" s="55"/>
      <c r="O114" s="55"/>
      <c r="P114" s="54">
        <f>20*5</f>
        <v>100</v>
      </c>
      <c r="Q114" s="32">
        <f t="shared" si="40"/>
        <v>100</v>
      </c>
      <c r="R114" s="36"/>
      <c r="S114" s="54"/>
      <c r="T114" s="54"/>
      <c r="U114" s="54">
        <v>20</v>
      </c>
      <c r="V114" s="32">
        <f t="shared" si="41"/>
        <v>20</v>
      </c>
      <c r="W114" s="55"/>
      <c r="X114" s="55"/>
      <c r="Y114" s="55"/>
      <c r="Z114" s="55"/>
      <c r="AA114" s="188">
        <f t="shared" si="42"/>
        <v>0</v>
      </c>
      <c r="AB114" s="36"/>
      <c r="AC114" s="36"/>
      <c r="AD114" s="36"/>
      <c r="AE114" s="36">
        <f t="shared" ref="AE114:AE118" si="83">U114+K114</f>
        <v>40</v>
      </c>
      <c r="AF114" s="32">
        <f t="shared" si="77"/>
        <v>40</v>
      </c>
      <c r="AG114" s="36"/>
      <c r="AH114" s="36"/>
      <c r="AI114" s="36"/>
      <c r="AJ114" s="36">
        <f t="shared" ref="AJ114:AJ118" si="84">Z114+P114</f>
        <v>100</v>
      </c>
      <c r="AK114" s="188">
        <f t="shared" si="79"/>
        <v>100</v>
      </c>
      <c r="AL114" s="168">
        <f t="shared" si="80"/>
        <v>40</v>
      </c>
      <c r="AM114" s="33">
        <f t="shared" si="81"/>
        <v>100</v>
      </c>
      <c r="AN114" s="169">
        <f t="shared" si="82"/>
        <v>140</v>
      </c>
      <c r="AO114" s="62" t="s">
        <v>371</v>
      </c>
      <c r="AP114" s="116"/>
      <c r="AQ114" s="116"/>
      <c r="AR114" s="116"/>
      <c r="AS114" s="116"/>
      <c r="AT114" s="116"/>
      <c r="AU114" s="116"/>
      <c r="AV114" s="116"/>
      <c r="AW114" s="116"/>
      <c r="AX114" s="116"/>
      <c r="AY114" s="116"/>
      <c r="AZ114" s="116"/>
      <c r="BA114" s="116"/>
      <c r="BB114" s="116"/>
      <c r="BC114" s="116"/>
      <c r="BD114" s="116"/>
      <c r="BE114" s="116"/>
      <c r="BF114" s="116"/>
    </row>
    <row r="115" spans="1:58" ht="82.95" customHeight="1">
      <c r="A115" s="227" t="s">
        <v>372</v>
      </c>
      <c r="B115" s="29" t="s">
        <v>373</v>
      </c>
      <c r="C115" s="53" t="s">
        <v>374</v>
      </c>
      <c r="D115" s="135"/>
      <c r="E115" s="135"/>
      <c r="F115" s="135"/>
      <c r="G115" s="142" t="s">
        <v>20</v>
      </c>
      <c r="H115" s="36"/>
      <c r="I115" s="54"/>
      <c r="J115" s="54"/>
      <c r="K115" s="54">
        <v>0</v>
      </c>
      <c r="L115" s="32">
        <f t="shared" si="39"/>
        <v>0</v>
      </c>
      <c r="M115" s="54"/>
      <c r="N115" s="54"/>
      <c r="O115" s="54"/>
      <c r="P115" s="54">
        <v>0</v>
      </c>
      <c r="Q115" s="32">
        <f t="shared" si="40"/>
        <v>0</v>
      </c>
      <c r="R115" s="36"/>
      <c r="S115" s="54"/>
      <c r="T115" s="54"/>
      <c r="U115" s="54">
        <v>6</v>
      </c>
      <c r="V115" s="32">
        <f t="shared" si="41"/>
        <v>6</v>
      </c>
      <c r="W115" s="54"/>
      <c r="X115" s="54"/>
      <c r="Y115" s="54"/>
      <c r="Z115" s="54">
        <v>6</v>
      </c>
      <c r="AA115" s="188">
        <f t="shared" si="42"/>
        <v>6</v>
      </c>
      <c r="AB115" s="36"/>
      <c r="AC115" s="36"/>
      <c r="AD115" s="36"/>
      <c r="AE115" s="36">
        <f t="shared" si="83"/>
        <v>6</v>
      </c>
      <c r="AF115" s="32">
        <f t="shared" si="77"/>
        <v>6</v>
      </c>
      <c r="AG115" s="36"/>
      <c r="AH115" s="36"/>
      <c r="AI115" s="36"/>
      <c r="AJ115" s="36">
        <f t="shared" si="84"/>
        <v>6</v>
      </c>
      <c r="AK115" s="188">
        <f t="shared" si="79"/>
        <v>6</v>
      </c>
      <c r="AL115" s="168">
        <f t="shared" si="80"/>
        <v>6</v>
      </c>
      <c r="AM115" s="33">
        <f t="shared" si="81"/>
        <v>6</v>
      </c>
      <c r="AN115" s="169">
        <f t="shared" si="82"/>
        <v>12</v>
      </c>
      <c r="AO115" s="62" t="s">
        <v>375</v>
      </c>
      <c r="AP115" s="116"/>
      <c r="AQ115" s="116"/>
      <c r="AR115" s="116"/>
      <c r="AS115" s="116"/>
      <c r="AT115" s="116"/>
      <c r="AU115" s="116"/>
      <c r="AV115" s="116"/>
      <c r="AW115" s="116"/>
      <c r="AX115" s="116"/>
      <c r="AY115" s="116"/>
      <c r="AZ115" s="116"/>
      <c r="BA115" s="116"/>
      <c r="BB115" s="116"/>
      <c r="BC115" s="116"/>
      <c r="BD115" s="116"/>
      <c r="BE115" s="116"/>
      <c r="BF115" s="116"/>
    </row>
    <row r="116" spans="1:58" ht="43.5" customHeight="1">
      <c r="A116" s="227"/>
      <c r="B116" s="29" t="s">
        <v>376</v>
      </c>
      <c r="C116" s="53" t="s">
        <v>377</v>
      </c>
      <c r="D116" s="135"/>
      <c r="E116" s="135"/>
      <c r="F116" s="135"/>
      <c r="G116" s="142" t="s">
        <v>20</v>
      </c>
      <c r="H116" s="36"/>
      <c r="I116" s="54"/>
      <c r="J116" s="54"/>
      <c r="K116" s="54">
        <v>0</v>
      </c>
      <c r="L116" s="32">
        <f t="shared" si="39"/>
        <v>0</v>
      </c>
      <c r="M116" s="54"/>
      <c r="N116" s="54"/>
      <c r="O116" s="54"/>
      <c r="P116" s="54">
        <v>0</v>
      </c>
      <c r="Q116" s="32">
        <f t="shared" si="40"/>
        <v>0</v>
      </c>
      <c r="R116" s="36"/>
      <c r="S116" s="54"/>
      <c r="T116" s="54"/>
      <c r="U116" s="54">
        <v>6000</v>
      </c>
      <c r="V116" s="32">
        <f t="shared" si="41"/>
        <v>6000</v>
      </c>
      <c r="W116" s="54"/>
      <c r="X116" s="54"/>
      <c r="Y116" s="54"/>
      <c r="Z116" s="54">
        <v>6000</v>
      </c>
      <c r="AA116" s="188">
        <f t="shared" si="42"/>
        <v>6000</v>
      </c>
      <c r="AB116" s="36"/>
      <c r="AC116" s="36"/>
      <c r="AD116" s="36"/>
      <c r="AE116" s="36">
        <f t="shared" si="83"/>
        <v>6000</v>
      </c>
      <c r="AF116" s="32">
        <f t="shared" si="77"/>
        <v>6000</v>
      </c>
      <c r="AG116" s="36"/>
      <c r="AH116" s="36"/>
      <c r="AI116" s="36"/>
      <c r="AJ116" s="36">
        <f t="shared" si="84"/>
        <v>6000</v>
      </c>
      <c r="AK116" s="188">
        <f t="shared" si="79"/>
        <v>6000</v>
      </c>
      <c r="AL116" s="168">
        <f t="shared" si="80"/>
        <v>6000</v>
      </c>
      <c r="AM116" s="33">
        <f t="shared" si="81"/>
        <v>6000</v>
      </c>
      <c r="AN116" s="169">
        <f t="shared" si="82"/>
        <v>12000</v>
      </c>
      <c r="AO116" s="62" t="s">
        <v>378</v>
      </c>
      <c r="AP116" s="116"/>
      <c r="AQ116" s="116"/>
      <c r="AR116" s="116"/>
      <c r="AS116" s="116"/>
      <c r="AT116" s="116"/>
      <c r="AU116" s="116"/>
      <c r="AV116" s="116"/>
      <c r="AW116" s="116"/>
      <c r="AX116" s="116"/>
      <c r="AY116" s="116"/>
      <c r="AZ116" s="116"/>
      <c r="BA116" s="116"/>
      <c r="BB116" s="116"/>
      <c r="BC116" s="116"/>
      <c r="BD116" s="116"/>
      <c r="BE116" s="116"/>
      <c r="BF116" s="116"/>
    </row>
    <row r="117" spans="1:58" ht="76.2" customHeight="1">
      <c r="A117" s="227" t="s">
        <v>379</v>
      </c>
      <c r="B117" s="39" t="s">
        <v>380</v>
      </c>
      <c r="C117" s="53" t="s">
        <v>381</v>
      </c>
      <c r="D117" s="135"/>
      <c r="E117" s="135"/>
      <c r="F117" s="135"/>
      <c r="G117" s="142" t="s">
        <v>20</v>
      </c>
      <c r="H117" s="36"/>
      <c r="I117" s="54"/>
      <c r="J117" s="54"/>
      <c r="K117" s="54">
        <v>0</v>
      </c>
      <c r="L117" s="32">
        <f t="shared" si="39"/>
        <v>0</v>
      </c>
      <c r="M117" s="54"/>
      <c r="N117" s="54"/>
      <c r="O117" s="54"/>
      <c r="P117" s="54">
        <v>0</v>
      </c>
      <c r="Q117" s="32">
        <f t="shared" si="40"/>
        <v>0</v>
      </c>
      <c r="R117" s="36"/>
      <c r="S117" s="54"/>
      <c r="T117" s="54"/>
      <c r="U117" s="54">
        <v>3</v>
      </c>
      <c r="V117" s="32">
        <f t="shared" si="41"/>
        <v>3</v>
      </c>
      <c r="W117" s="54"/>
      <c r="X117" s="54"/>
      <c r="Y117" s="54"/>
      <c r="Z117" s="54">
        <v>3</v>
      </c>
      <c r="AA117" s="188">
        <f t="shared" si="42"/>
        <v>3</v>
      </c>
      <c r="AB117" s="36"/>
      <c r="AC117" s="36"/>
      <c r="AD117" s="36"/>
      <c r="AE117" s="36">
        <f t="shared" si="83"/>
        <v>3</v>
      </c>
      <c r="AF117" s="32">
        <f t="shared" si="77"/>
        <v>3</v>
      </c>
      <c r="AG117" s="36"/>
      <c r="AH117" s="36"/>
      <c r="AI117" s="36"/>
      <c r="AJ117" s="36">
        <f t="shared" si="84"/>
        <v>3</v>
      </c>
      <c r="AK117" s="188">
        <f t="shared" si="79"/>
        <v>3</v>
      </c>
      <c r="AL117" s="168">
        <f t="shared" si="80"/>
        <v>3</v>
      </c>
      <c r="AM117" s="33">
        <f t="shared" si="81"/>
        <v>3</v>
      </c>
      <c r="AN117" s="169">
        <f t="shared" si="82"/>
        <v>6</v>
      </c>
      <c r="AO117" s="84" t="s">
        <v>382</v>
      </c>
      <c r="AP117" s="116"/>
      <c r="AQ117" s="116"/>
      <c r="AR117" s="116"/>
      <c r="AS117" s="116"/>
      <c r="AT117" s="116"/>
      <c r="AU117" s="116"/>
      <c r="AV117" s="116"/>
      <c r="AW117" s="116"/>
      <c r="AX117" s="116"/>
      <c r="AY117" s="116"/>
      <c r="AZ117" s="116"/>
      <c r="BA117" s="116"/>
      <c r="BB117" s="116"/>
      <c r="BC117" s="116"/>
      <c r="BD117" s="116"/>
      <c r="BE117" s="116"/>
      <c r="BF117" s="116"/>
    </row>
    <row r="118" spans="1:58" ht="43.5" customHeight="1">
      <c r="A118" s="226"/>
      <c r="B118" s="39" t="s">
        <v>383</v>
      </c>
      <c r="C118" s="53" t="s">
        <v>384</v>
      </c>
      <c r="D118" s="135"/>
      <c r="E118" s="135"/>
      <c r="F118" s="135"/>
      <c r="G118" s="142" t="s">
        <v>20</v>
      </c>
      <c r="H118" s="36"/>
      <c r="I118" s="54"/>
      <c r="J118" s="54"/>
      <c r="K118" s="54">
        <v>0</v>
      </c>
      <c r="L118" s="32">
        <f t="shared" si="39"/>
        <v>0</v>
      </c>
      <c r="M118" s="54"/>
      <c r="N118" s="54"/>
      <c r="O118" s="54"/>
      <c r="P118" s="54">
        <v>0</v>
      </c>
      <c r="Q118" s="32">
        <f t="shared" si="40"/>
        <v>0</v>
      </c>
      <c r="R118" s="36"/>
      <c r="S118" s="54"/>
      <c r="T118" s="54"/>
      <c r="U118" s="54">
        <v>150</v>
      </c>
      <c r="V118" s="32">
        <f t="shared" si="41"/>
        <v>150</v>
      </c>
      <c r="W118" s="54"/>
      <c r="X118" s="54"/>
      <c r="Y118" s="54"/>
      <c r="Z118" s="54">
        <v>150</v>
      </c>
      <c r="AA118" s="188">
        <f t="shared" si="42"/>
        <v>150</v>
      </c>
      <c r="AB118" s="36"/>
      <c r="AC118" s="36"/>
      <c r="AD118" s="36"/>
      <c r="AE118" s="36">
        <f t="shared" si="83"/>
        <v>150</v>
      </c>
      <c r="AF118" s="32">
        <f t="shared" si="77"/>
        <v>150</v>
      </c>
      <c r="AG118" s="36"/>
      <c r="AH118" s="36"/>
      <c r="AI118" s="36"/>
      <c r="AJ118" s="36">
        <f t="shared" si="84"/>
        <v>150</v>
      </c>
      <c r="AK118" s="188">
        <f t="shared" si="79"/>
        <v>150</v>
      </c>
      <c r="AL118" s="168">
        <f t="shared" si="80"/>
        <v>150</v>
      </c>
      <c r="AM118" s="33">
        <f t="shared" si="81"/>
        <v>150</v>
      </c>
      <c r="AN118" s="169">
        <f t="shared" si="82"/>
        <v>300</v>
      </c>
      <c r="AO118" s="84" t="s">
        <v>382</v>
      </c>
      <c r="AP118" s="116"/>
      <c r="AQ118" s="116"/>
      <c r="AR118" s="116"/>
      <c r="AS118" s="116"/>
      <c r="AT118" s="116"/>
      <c r="AU118" s="116"/>
      <c r="AV118" s="116"/>
      <c r="AW118" s="116"/>
      <c r="AX118" s="116"/>
      <c r="AY118" s="116"/>
      <c r="AZ118" s="116"/>
      <c r="BA118" s="116"/>
      <c r="BB118" s="116"/>
      <c r="BC118" s="116"/>
      <c r="BD118" s="116"/>
      <c r="BE118" s="116"/>
      <c r="BF118" s="116"/>
    </row>
    <row r="119" spans="1:58" ht="43.5" customHeight="1">
      <c r="A119" s="223" t="s">
        <v>385</v>
      </c>
      <c r="B119" s="37" t="s">
        <v>386</v>
      </c>
      <c r="C119" s="53" t="s">
        <v>387</v>
      </c>
      <c r="D119" s="135"/>
      <c r="E119" s="135"/>
      <c r="F119" s="135"/>
      <c r="G119" s="142" t="s">
        <v>20</v>
      </c>
      <c r="H119" s="36"/>
      <c r="I119" s="54"/>
      <c r="J119" s="203"/>
      <c r="K119" s="203"/>
      <c r="L119" s="49">
        <f t="shared" si="39"/>
        <v>0</v>
      </c>
      <c r="M119" s="203"/>
      <c r="N119" s="203"/>
      <c r="O119" s="203"/>
      <c r="P119" s="203"/>
      <c r="Q119" s="49">
        <f t="shared" si="40"/>
        <v>0</v>
      </c>
      <c r="R119" s="203"/>
      <c r="S119" s="203"/>
      <c r="T119" s="203"/>
      <c r="U119" s="203">
        <v>0.8</v>
      </c>
      <c r="V119" s="49">
        <f t="shared" si="41"/>
        <v>0.8</v>
      </c>
      <c r="W119" s="203"/>
      <c r="X119" s="203"/>
      <c r="Y119" s="203"/>
      <c r="Z119" s="203">
        <v>0.8</v>
      </c>
      <c r="AA119" s="191">
        <f t="shared" si="42"/>
        <v>0.8</v>
      </c>
      <c r="AB119" s="203"/>
      <c r="AC119" s="203"/>
      <c r="AD119" s="203"/>
      <c r="AE119" s="203">
        <v>0.8</v>
      </c>
      <c r="AF119" s="49">
        <f t="shared" si="77"/>
        <v>0.8</v>
      </c>
      <c r="AG119" s="203"/>
      <c r="AH119" s="203"/>
      <c r="AI119" s="203"/>
      <c r="AJ119" s="203">
        <v>0.8</v>
      </c>
      <c r="AK119" s="191">
        <f t="shared" si="79"/>
        <v>0.8</v>
      </c>
      <c r="AL119" s="166">
        <v>0.8</v>
      </c>
      <c r="AM119" s="34">
        <v>0.8</v>
      </c>
      <c r="AN119" s="167">
        <v>0.8</v>
      </c>
      <c r="AO119" s="84" t="s">
        <v>388</v>
      </c>
      <c r="AP119" s="116"/>
      <c r="AQ119" s="116"/>
      <c r="AR119" s="116"/>
      <c r="AS119" s="116"/>
      <c r="AT119" s="116"/>
      <c r="AU119" s="116"/>
      <c r="AV119" s="116"/>
      <c r="AW119" s="116"/>
      <c r="AX119" s="116"/>
      <c r="AY119" s="116"/>
      <c r="AZ119" s="116"/>
      <c r="BA119" s="116"/>
      <c r="BB119" s="116"/>
      <c r="BC119" s="116"/>
      <c r="BD119" s="116"/>
      <c r="BE119" s="116"/>
      <c r="BF119" s="116"/>
    </row>
    <row r="120" spans="1:58" ht="43.5" customHeight="1">
      <c r="A120" s="224"/>
      <c r="B120" s="37" t="s">
        <v>389</v>
      </c>
      <c r="C120" s="53" t="s">
        <v>390</v>
      </c>
      <c r="D120" s="135"/>
      <c r="E120" s="135"/>
      <c r="F120" s="135"/>
      <c r="G120" s="142" t="s">
        <v>20</v>
      </c>
      <c r="H120" s="36"/>
      <c r="I120" s="54"/>
      <c r="J120" s="203"/>
      <c r="K120" s="203"/>
      <c r="L120" s="49">
        <f t="shared" si="39"/>
        <v>0</v>
      </c>
      <c r="M120" s="203"/>
      <c r="N120" s="203"/>
      <c r="O120" s="203"/>
      <c r="P120" s="203"/>
      <c r="Q120" s="49">
        <f t="shared" si="40"/>
        <v>0</v>
      </c>
      <c r="R120" s="203"/>
      <c r="S120" s="203"/>
      <c r="T120" s="203"/>
      <c r="U120" s="203">
        <v>0.8</v>
      </c>
      <c r="V120" s="49">
        <f t="shared" si="41"/>
        <v>0.8</v>
      </c>
      <c r="W120" s="203"/>
      <c r="X120" s="203"/>
      <c r="Y120" s="203"/>
      <c r="Z120" s="203">
        <v>0.8</v>
      </c>
      <c r="AA120" s="191">
        <f t="shared" si="42"/>
        <v>0.8</v>
      </c>
      <c r="AB120" s="203"/>
      <c r="AC120" s="203"/>
      <c r="AD120" s="203"/>
      <c r="AE120" s="203">
        <v>0.8</v>
      </c>
      <c r="AF120" s="49">
        <f t="shared" si="77"/>
        <v>0.8</v>
      </c>
      <c r="AG120" s="203"/>
      <c r="AH120" s="203"/>
      <c r="AI120" s="203"/>
      <c r="AJ120" s="203">
        <v>0.8</v>
      </c>
      <c r="AK120" s="191">
        <f t="shared" si="79"/>
        <v>0.8</v>
      </c>
      <c r="AL120" s="166">
        <v>0.8</v>
      </c>
      <c r="AM120" s="34">
        <v>0.8</v>
      </c>
      <c r="AN120" s="167">
        <v>0.8</v>
      </c>
      <c r="AO120" s="84" t="s">
        <v>391</v>
      </c>
      <c r="AP120" s="116"/>
      <c r="AQ120" s="116"/>
      <c r="AR120" s="116"/>
      <c r="AS120" s="116"/>
      <c r="AT120" s="116"/>
      <c r="AU120" s="116"/>
      <c r="AV120" s="116"/>
      <c r="AW120" s="116"/>
      <c r="AX120" s="116"/>
      <c r="AY120" s="116"/>
      <c r="AZ120" s="116"/>
      <c r="BA120" s="116"/>
      <c r="BB120" s="116"/>
      <c r="BC120" s="116"/>
      <c r="BD120" s="116"/>
      <c r="BE120" s="116"/>
      <c r="BF120" s="116"/>
    </row>
    <row r="121" spans="1:58" ht="43.5" customHeight="1">
      <c r="A121" s="225"/>
      <c r="B121" s="37" t="s">
        <v>392</v>
      </c>
      <c r="C121" s="53" t="s">
        <v>393</v>
      </c>
      <c r="D121" s="135"/>
      <c r="E121" s="135"/>
      <c r="F121" s="135"/>
      <c r="G121" s="142" t="s">
        <v>20</v>
      </c>
      <c r="H121" s="36"/>
      <c r="I121" s="54"/>
      <c r="J121" s="203"/>
      <c r="K121" s="203"/>
      <c r="L121" s="49">
        <f t="shared" si="39"/>
        <v>0</v>
      </c>
      <c r="M121" s="203"/>
      <c r="N121" s="203"/>
      <c r="O121" s="203"/>
      <c r="P121" s="203"/>
      <c r="Q121" s="49">
        <f t="shared" si="40"/>
        <v>0</v>
      </c>
      <c r="R121" s="203"/>
      <c r="S121" s="203"/>
      <c r="T121" s="203"/>
      <c r="U121" s="203">
        <v>0.8</v>
      </c>
      <c r="V121" s="49">
        <f t="shared" si="41"/>
        <v>0.8</v>
      </c>
      <c r="W121" s="203"/>
      <c r="X121" s="203"/>
      <c r="Y121" s="203"/>
      <c r="Z121" s="203">
        <v>0.8</v>
      </c>
      <c r="AA121" s="191">
        <f t="shared" si="42"/>
        <v>0.8</v>
      </c>
      <c r="AB121" s="203"/>
      <c r="AC121" s="203"/>
      <c r="AD121" s="203"/>
      <c r="AE121" s="203">
        <v>0.8</v>
      </c>
      <c r="AF121" s="49">
        <f t="shared" si="77"/>
        <v>0.8</v>
      </c>
      <c r="AG121" s="203"/>
      <c r="AH121" s="203"/>
      <c r="AI121" s="203"/>
      <c r="AJ121" s="203">
        <v>0.8</v>
      </c>
      <c r="AK121" s="191">
        <f t="shared" si="79"/>
        <v>0.8</v>
      </c>
      <c r="AL121" s="166">
        <v>0.8</v>
      </c>
      <c r="AM121" s="34">
        <v>0.8</v>
      </c>
      <c r="AN121" s="167">
        <v>0.8</v>
      </c>
      <c r="AO121" s="84" t="s">
        <v>394</v>
      </c>
      <c r="AP121" s="116"/>
      <c r="AQ121" s="116"/>
      <c r="AR121" s="116"/>
      <c r="AS121" s="116"/>
      <c r="AT121" s="116"/>
      <c r="AU121" s="116"/>
      <c r="AV121" s="116"/>
      <c r="AW121" s="116"/>
      <c r="AX121" s="116"/>
      <c r="AY121" s="116"/>
      <c r="AZ121" s="116"/>
      <c r="BA121" s="116"/>
      <c r="BB121" s="116"/>
      <c r="BC121" s="116"/>
      <c r="BD121" s="116"/>
      <c r="BE121" s="116"/>
      <c r="BF121" s="116"/>
    </row>
    <row r="122" spans="1:58" ht="43.5" customHeight="1">
      <c r="A122" s="226" t="s">
        <v>395</v>
      </c>
      <c r="B122" s="29" t="s">
        <v>396</v>
      </c>
      <c r="C122" s="53" t="s">
        <v>397</v>
      </c>
      <c r="D122" s="135"/>
      <c r="E122" s="135"/>
      <c r="F122" s="135"/>
      <c r="G122" s="142" t="s">
        <v>20</v>
      </c>
      <c r="H122" s="36"/>
      <c r="I122" s="36"/>
      <c r="J122" s="36"/>
      <c r="K122" s="54">
        <f>K117</f>
        <v>0</v>
      </c>
      <c r="L122" s="32">
        <f t="shared" si="39"/>
        <v>0</v>
      </c>
      <c r="M122" s="36"/>
      <c r="N122" s="36"/>
      <c r="O122" s="36"/>
      <c r="P122" s="54">
        <f>P117</f>
        <v>0</v>
      </c>
      <c r="Q122" s="32">
        <f t="shared" si="40"/>
        <v>0</v>
      </c>
      <c r="R122" s="36"/>
      <c r="S122" s="36"/>
      <c r="T122" s="36"/>
      <c r="U122" s="54">
        <f>U117</f>
        <v>3</v>
      </c>
      <c r="V122" s="32">
        <f t="shared" si="41"/>
        <v>3</v>
      </c>
      <c r="W122" s="36"/>
      <c r="X122" s="36"/>
      <c r="Y122" s="36"/>
      <c r="Z122" s="54">
        <f>Z117</f>
        <v>3</v>
      </c>
      <c r="AA122" s="188">
        <f t="shared" si="42"/>
        <v>3</v>
      </c>
      <c r="AB122" s="36"/>
      <c r="AC122" s="36"/>
      <c r="AD122" s="36"/>
      <c r="AE122" s="36">
        <f t="shared" ref="AE122:AE127" si="85">U122+K122</f>
        <v>3</v>
      </c>
      <c r="AF122" s="32">
        <f t="shared" si="77"/>
        <v>3</v>
      </c>
      <c r="AG122" s="36"/>
      <c r="AH122" s="36"/>
      <c r="AI122" s="36"/>
      <c r="AJ122" s="36">
        <f t="shared" ref="AJ122:AJ127" si="86">Z122+P122</f>
        <v>3</v>
      </c>
      <c r="AK122" s="188">
        <f t="shared" si="79"/>
        <v>3</v>
      </c>
      <c r="AL122" s="168">
        <f>V122+L122</f>
        <v>3</v>
      </c>
      <c r="AM122" s="33">
        <f>AA122+Q122</f>
        <v>3</v>
      </c>
      <c r="AN122" s="169">
        <f>SUM(L122,Q122,V122,AA122)</f>
        <v>6</v>
      </c>
      <c r="AO122" s="62" t="s">
        <v>398</v>
      </c>
      <c r="AP122" s="116"/>
      <c r="AQ122" s="116"/>
      <c r="AR122" s="116"/>
      <c r="AS122" s="116"/>
      <c r="AT122" s="116"/>
      <c r="AU122" s="116"/>
      <c r="AV122" s="116"/>
      <c r="AW122" s="116"/>
      <c r="AX122" s="116"/>
      <c r="AY122" s="116"/>
      <c r="AZ122" s="116"/>
      <c r="BA122" s="116"/>
      <c r="BB122" s="116"/>
      <c r="BC122" s="116"/>
      <c r="BD122" s="116"/>
      <c r="BE122" s="116"/>
      <c r="BF122" s="116"/>
    </row>
    <row r="123" spans="1:58" ht="43.5" customHeight="1">
      <c r="A123" s="226"/>
      <c r="B123" s="29" t="s">
        <v>399</v>
      </c>
      <c r="C123" s="53" t="s">
        <v>400</v>
      </c>
      <c r="D123" s="135"/>
      <c r="E123" s="135"/>
      <c r="F123" s="135"/>
      <c r="G123" s="142" t="s">
        <v>20</v>
      </c>
      <c r="H123" s="36"/>
      <c r="I123" s="36"/>
      <c r="J123" s="36"/>
      <c r="K123" s="54">
        <f>K118</f>
        <v>0</v>
      </c>
      <c r="L123" s="32">
        <f t="shared" si="39"/>
        <v>0</v>
      </c>
      <c r="M123" s="36"/>
      <c r="N123" s="36"/>
      <c r="O123" s="36"/>
      <c r="P123" s="54">
        <f>P118</f>
        <v>0</v>
      </c>
      <c r="Q123" s="32">
        <f t="shared" si="40"/>
        <v>0</v>
      </c>
      <c r="R123" s="36"/>
      <c r="S123" s="36"/>
      <c r="T123" s="36"/>
      <c r="U123" s="54">
        <f>U118</f>
        <v>150</v>
      </c>
      <c r="V123" s="32">
        <f t="shared" si="41"/>
        <v>150</v>
      </c>
      <c r="W123" s="36"/>
      <c r="X123" s="36"/>
      <c r="Y123" s="36"/>
      <c r="Z123" s="54">
        <f>Z118</f>
        <v>150</v>
      </c>
      <c r="AA123" s="188">
        <f t="shared" si="42"/>
        <v>150</v>
      </c>
      <c r="AB123" s="36"/>
      <c r="AC123" s="36"/>
      <c r="AD123" s="36"/>
      <c r="AE123" s="36">
        <f t="shared" si="85"/>
        <v>150</v>
      </c>
      <c r="AF123" s="32">
        <f t="shared" si="77"/>
        <v>150</v>
      </c>
      <c r="AG123" s="36"/>
      <c r="AH123" s="36"/>
      <c r="AI123" s="36"/>
      <c r="AJ123" s="36">
        <f t="shared" si="86"/>
        <v>150</v>
      </c>
      <c r="AK123" s="188">
        <f t="shared" si="79"/>
        <v>150</v>
      </c>
      <c r="AL123" s="168">
        <f>V123+L123</f>
        <v>150</v>
      </c>
      <c r="AM123" s="33">
        <f>AA123+Q123</f>
        <v>150</v>
      </c>
      <c r="AN123" s="169">
        <f>SUM(L123,Q123,V123,AA123)</f>
        <v>300</v>
      </c>
      <c r="AO123" s="62" t="s">
        <v>398</v>
      </c>
      <c r="AP123" s="116"/>
      <c r="AQ123" s="116"/>
      <c r="AR123" s="116"/>
      <c r="AS123" s="116"/>
      <c r="AT123" s="116"/>
      <c r="AU123" s="116"/>
      <c r="AV123" s="116"/>
      <c r="AW123" s="116"/>
      <c r="AX123" s="116"/>
      <c r="AY123" s="116"/>
      <c r="AZ123" s="116"/>
      <c r="BA123" s="116"/>
      <c r="BB123" s="116"/>
      <c r="BC123" s="116"/>
      <c r="BD123" s="116"/>
      <c r="BE123" s="116"/>
      <c r="BF123" s="116"/>
    </row>
    <row r="124" spans="1:58" ht="43.5" customHeight="1">
      <c r="A124" s="226" t="s">
        <v>401</v>
      </c>
      <c r="B124" s="29" t="s">
        <v>402</v>
      </c>
      <c r="C124" s="53" t="s">
        <v>403</v>
      </c>
      <c r="D124" s="135"/>
      <c r="E124" s="135"/>
      <c r="F124" s="135"/>
      <c r="G124" s="142" t="s">
        <v>20</v>
      </c>
      <c r="H124" s="36"/>
      <c r="I124" s="36"/>
      <c r="J124" s="36"/>
      <c r="K124" s="36">
        <v>1</v>
      </c>
      <c r="L124" s="32">
        <f t="shared" si="39"/>
        <v>1</v>
      </c>
      <c r="M124" s="36"/>
      <c r="N124" s="36"/>
      <c r="O124" s="36"/>
      <c r="P124" s="36">
        <v>1</v>
      </c>
      <c r="Q124" s="32">
        <f t="shared" si="40"/>
        <v>1</v>
      </c>
      <c r="R124" s="36"/>
      <c r="S124" s="36"/>
      <c r="T124" s="36"/>
      <c r="U124" s="36">
        <v>1</v>
      </c>
      <c r="V124" s="32">
        <f t="shared" si="41"/>
        <v>1</v>
      </c>
      <c r="W124" s="36"/>
      <c r="X124" s="36"/>
      <c r="Y124" s="36"/>
      <c r="Z124" s="36">
        <v>1</v>
      </c>
      <c r="AA124" s="188">
        <f>SUM(W124:Z124)</f>
        <v>1</v>
      </c>
      <c r="AB124" s="36"/>
      <c r="AC124" s="36"/>
      <c r="AD124" s="36"/>
      <c r="AE124" s="36">
        <f t="shared" si="85"/>
        <v>2</v>
      </c>
      <c r="AF124" s="32">
        <f t="shared" si="77"/>
        <v>2</v>
      </c>
      <c r="AG124" s="36"/>
      <c r="AH124" s="36"/>
      <c r="AI124" s="36"/>
      <c r="AJ124" s="36">
        <f t="shared" si="86"/>
        <v>2</v>
      </c>
      <c r="AK124" s="188">
        <f>SUM(AG124:AJ124)</f>
        <v>2</v>
      </c>
      <c r="AL124" s="168">
        <v>1</v>
      </c>
      <c r="AM124" s="33">
        <v>1</v>
      </c>
      <c r="AN124" s="169">
        <v>2</v>
      </c>
      <c r="AO124" s="62" t="s">
        <v>404</v>
      </c>
      <c r="AP124" s="116"/>
      <c r="AQ124" s="116"/>
      <c r="AR124" s="116"/>
      <c r="AS124" s="116"/>
      <c r="AT124" s="116"/>
      <c r="AU124" s="116"/>
      <c r="AV124" s="116"/>
      <c r="AW124" s="116"/>
      <c r="AX124" s="116"/>
      <c r="AY124" s="116"/>
      <c r="AZ124" s="116"/>
      <c r="BA124" s="116"/>
      <c r="BB124" s="116"/>
      <c r="BC124" s="116"/>
      <c r="BD124" s="116"/>
      <c r="BE124" s="116"/>
      <c r="BF124" s="116"/>
    </row>
    <row r="125" spans="1:58" ht="43.5" customHeight="1">
      <c r="A125" s="226"/>
      <c r="B125" s="29" t="s">
        <v>405</v>
      </c>
      <c r="C125" s="53" t="s">
        <v>406</v>
      </c>
      <c r="D125" s="135"/>
      <c r="E125" s="135"/>
      <c r="F125" s="135"/>
      <c r="G125" s="142" t="s">
        <v>20</v>
      </c>
      <c r="H125" s="36"/>
      <c r="I125" s="36"/>
      <c r="J125" s="36"/>
      <c r="K125" s="36">
        <v>40</v>
      </c>
      <c r="L125" s="32">
        <f t="shared" si="39"/>
        <v>40</v>
      </c>
      <c r="M125" s="36"/>
      <c r="N125" s="36"/>
      <c r="O125" s="36"/>
      <c r="P125" s="36">
        <v>40</v>
      </c>
      <c r="Q125" s="32">
        <f t="shared" si="40"/>
        <v>40</v>
      </c>
      <c r="R125" s="36"/>
      <c r="S125" s="36"/>
      <c r="T125" s="36"/>
      <c r="U125" s="36">
        <v>40</v>
      </c>
      <c r="V125" s="32">
        <f t="shared" si="41"/>
        <v>40</v>
      </c>
      <c r="W125" s="36"/>
      <c r="X125" s="36"/>
      <c r="Y125" s="36"/>
      <c r="Z125" s="36">
        <v>40</v>
      </c>
      <c r="AA125" s="188">
        <f t="shared" si="42"/>
        <v>40</v>
      </c>
      <c r="AB125" s="36"/>
      <c r="AC125" s="36"/>
      <c r="AD125" s="36"/>
      <c r="AE125" s="36">
        <f t="shared" si="85"/>
        <v>80</v>
      </c>
      <c r="AF125" s="32">
        <f t="shared" si="77"/>
        <v>80</v>
      </c>
      <c r="AG125" s="36"/>
      <c r="AH125" s="36"/>
      <c r="AI125" s="36"/>
      <c r="AJ125" s="36">
        <f t="shared" si="86"/>
        <v>80</v>
      </c>
      <c r="AK125" s="188">
        <f t="shared" ref="AK125:AK135" si="87">SUM(AG125:AJ125)</f>
        <v>80</v>
      </c>
      <c r="AL125" s="168">
        <f>V125+L125</f>
        <v>80</v>
      </c>
      <c r="AM125" s="33">
        <f>AA125+Q125</f>
        <v>80</v>
      </c>
      <c r="AN125" s="169">
        <f>SUM(L125,Q125,V125,AA125)</f>
        <v>160</v>
      </c>
      <c r="AO125" s="62" t="s">
        <v>407</v>
      </c>
      <c r="AP125" s="116"/>
      <c r="AQ125" s="116"/>
      <c r="AR125" s="116"/>
      <c r="AS125" s="116"/>
      <c r="AT125" s="116"/>
      <c r="AU125" s="116"/>
      <c r="AV125" s="116"/>
      <c r="AW125" s="116"/>
      <c r="AX125" s="116"/>
      <c r="AY125" s="116"/>
      <c r="AZ125" s="116"/>
      <c r="BA125" s="116"/>
      <c r="BB125" s="116"/>
      <c r="BC125" s="116"/>
      <c r="BD125" s="116"/>
      <c r="BE125" s="116"/>
      <c r="BF125" s="116"/>
    </row>
    <row r="126" spans="1:58" ht="77.400000000000006" customHeight="1">
      <c r="A126" s="29" t="s">
        <v>408</v>
      </c>
      <c r="B126" s="39" t="s">
        <v>409</v>
      </c>
      <c r="C126" s="53" t="s">
        <v>410</v>
      </c>
      <c r="D126" s="9" t="s">
        <v>17</v>
      </c>
      <c r="E126" s="135"/>
      <c r="F126" s="135"/>
      <c r="G126" s="142" t="s">
        <v>20</v>
      </c>
      <c r="H126" s="36">
        <v>0</v>
      </c>
      <c r="I126" s="36"/>
      <c r="J126" s="36"/>
      <c r="K126" s="36">
        <v>40</v>
      </c>
      <c r="L126" s="32">
        <f t="shared" si="39"/>
        <v>40</v>
      </c>
      <c r="M126" s="36">
        <v>0</v>
      </c>
      <c r="N126" s="36"/>
      <c r="O126" s="36"/>
      <c r="P126" s="36">
        <v>45</v>
      </c>
      <c r="Q126" s="32">
        <f t="shared" si="40"/>
        <v>45</v>
      </c>
      <c r="R126" s="202">
        <f>120+40</f>
        <v>160</v>
      </c>
      <c r="S126" s="36"/>
      <c r="T126" s="36"/>
      <c r="U126" s="36">
        <v>20</v>
      </c>
      <c r="V126" s="32">
        <f t="shared" si="41"/>
        <v>180</v>
      </c>
      <c r="W126" s="202">
        <f>120+40</f>
        <v>160</v>
      </c>
      <c r="X126" s="36"/>
      <c r="Y126" s="36"/>
      <c r="Z126" s="36">
        <v>15</v>
      </c>
      <c r="AA126" s="188">
        <f t="shared" si="42"/>
        <v>175</v>
      </c>
      <c r="AB126" s="36">
        <f t="shared" ref="AB126:AB128" si="88">R126+H126</f>
        <v>160</v>
      </c>
      <c r="AC126" s="36"/>
      <c r="AD126" s="36"/>
      <c r="AE126" s="36">
        <f t="shared" si="85"/>
        <v>60</v>
      </c>
      <c r="AF126" s="32">
        <f t="shared" si="77"/>
        <v>220</v>
      </c>
      <c r="AG126" s="36">
        <f t="shared" ref="AG126:AG128" si="89">W126+M126</f>
        <v>160</v>
      </c>
      <c r="AH126" s="36"/>
      <c r="AI126" s="36"/>
      <c r="AJ126" s="36">
        <f t="shared" si="86"/>
        <v>60</v>
      </c>
      <c r="AK126" s="188">
        <f t="shared" si="87"/>
        <v>220</v>
      </c>
      <c r="AL126" s="168">
        <f>V126+L126</f>
        <v>220</v>
      </c>
      <c r="AM126" s="33">
        <f>AA126+Q126</f>
        <v>220</v>
      </c>
      <c r="AN126" s="169">
        <f>SUM(L126,Q126,V126,AA126)</f>
        <v>440</v>
      </c>
      <c r="AO126" s="60" t="s">
        <v>411</v>
      </c>
      <c r="AP126" s="116"/>
      <c r="AQ126" s="116"/>
      <c r="AR126" s="116"/>
      <c r="AS126" s="116"/>
      <c r="AT126" s="116"/>
      <c r="AU126" s="116"/>
      <c r="AV126" s="116"/>
      <c r="AW126" s="116"/>
      <c r="AX126" s="116"/>
      <c r="AY126" s="116"/>
      <c r="AZ126" s="116"/>
      <c r="BA126" s="116"/>
      <c r="BB126" s="116"/>
      <c r="BC126" s="116"/>
      <c r="BD126" s="116"/>
      <c r="BE126" s="116"/>
      <c r="BF126" s="116"/>
    </row>
    <row r="127" spans="1:58" ht="99.6" customHeight="1">
      <c r="A127" s="227" t="s">
        <v>412</v>
      </c>
      <c r="B127" s="29" t="s">
        <v>413</v>
      </c>
      <c r="C127" s="53" t="s">
        <v>414</v>
      </c>
      <c r="D127" s="135"/>
      <c r="E127" s="135"/>
      <c r="F127" s="135"/>
      <c r="G127" s="142" t="s">
        <v>20</v>
      </c>
      <c r="H127" s="36"/>
      <c r="I127" s="36"/>
      <c r="J127" s="130"/>
      <c r="K127" s="36">
        <v>0</v>
      </c>
      <c r="L127" s="32">
        <f t="shared" si="39"/>
        <v>0</v>
      </c>
      <c r="M127" s="36"/>
      <c r="N127" s="36"/>
      <c r="O127" s="36"/>
      <c r="P127" s="36">
        <v>0</v>
      </c>
      <c r="Q127" s="32">
        <f t="shared" si="40"/>
        <v>0</v>
      </c>
      <c r="R127" s="36"/>
      <c r="S127" s="36"/>
      <c r="T127" s="36"/>
      <c r="U127" s="202">
        <f>150+100</f>
        <v>250</v>
      </c>
      <c r="V127" s="32">
        <f t="shared" si="41"/>
        <v>250</v>
      </c>
      <c r="W127" s="36">
        <v>0</v>
      </c>
      <c r="X127" s="36"/>
      <c r="Y127" s="36"/>
      <c r="Z127" s="36">
        <v>120</v>
      </c>
      <c r="AA127" s="188">
        <f t="shared" si="42"/>
        <v>120</v>
      </c>
      <c r="AB127" s="36"/>
      <c r="AC127" s="36"/>
      <c r="AD127" s="36"/>
      <c r="AE127" s="36">
        <f t="shared" si="85"/>
        <v>250</v>
      </c>
      <c r="AF127" s="32">
        <f t="shared" si="77"/>
        <v>250</v>
      </c>
      <c r="AG127" s="36"/>
      <c r="AH127" s="36"/>
      <c r="AI127" s="36"/>
      <c r="AJ127" s="36">
        <f t="shared" si="86"/>
        <v>120</v>
      </c>
      <c r="AK127" s="188">
        <f t="shared" si="87"/>
        <v>120</v>
      </c>
      <c r="AL127" s="168">
        <f>V127+L127</f>
        <v>250</v>
      </c>
      <c r="AM127" s="33">
        <f>AA127+Q127</f>
        <v>120</v>
      </c>
      <c r="AN127" s="169">
        <f>SUM(L127,Q127,V127,AA127)</f>
        <v>370</v>
      </c>
      <c r="AO127" s="60" t="s">
        <v>415</v>
      </c>
      <c r="AP127" s="116"/>
      <c r="AQ127" s="116"/>
      <c r="AR127" s="116"/>
      <c r="AS127" s="116"/>
      <c r="AT127" s="116"/>
      <c r="AU127" s="116"/>
      <c r="AV127" s="116"/>
      <c r="AW127" s="116"/>
      <c r="AX127" s="116"/>
      <c r="AY127" s="116"/>
      <c r="AZ127" s="116"/>
      <c r="BA127" s="116"/>
      <c r="BB127" s="116"/>
      <c r="BC127" s="116"/>
      <c r="BD127" s="116"/>
      <c r="BE127" s="116"/>
      <c r="BF127" s="116"/>
    </row>
    <row r="128" spans="1:58" ht="98.4" customHeight="1">
      <c r="A128" s="226"/>
      <c r="B128" s="29" t="s">
        <v>416</v>
      </c>
      <c r="C128" s="53" t="s">
        <v>417</v>
      </c>
      <c r="D128" s="9" t="s">
        <v>17</v>
      </c>
      <c r="E128" s="135"/>
      <c r="F128" s="135"/>
      <c r="G128" s="135"/>
      <c r="H128" s="130">
        <v>0</v>
      </c>
      <c r="I128" s="36"/>
      <c r="J128" s="36"/>
      <c r="K128" s="36"/>
      <c r="L128" s="32">
        <f t="shared" si="39"/>
        <v>0</v>
      </c>
      <c r="M128" s="130">
        <v>0</v>
      </c>
      <c r="N128" s="36"/>
      <c r="O128" s="36"/>
      <c r="P128" s="36"/>
      <c r="Q128" s="32">
        <f t="shared" si="40"/>
        <v>0</v>
      </c>
      <c r="R128" s="205">
        <f>45+36</f>
        <v>81</v>
      </c>
      <c r="S128" s="36"/>
      <c r="T128" s="36"/>
      <c r="U128" s="36"/>
      <c r="V128" s="32">
        <f t="shared" si="41"/>
        <v>81</v>
      </c>
      <c r="W128" s="205">
        <f>40+36</f>
        <v>76</v>
      </c>
      <c r="X128" s="36"/>
      <c r="Y128" s="36"/>
      <c r="Z128" s="36"/>
      <c r="AA128" s="188">
        <f t="shared" si="42"/>
        <v>76</v>
      </c>
      <c r="AB128" s="36">
        <f t="shared" si="88"/>
        <v>81</v>
      </c>
      <c r="AC128" s="36"/>
      <c r="AD128" s="36"/>
      <c r="AE128" s="36"/>
      <c r="AF128" s="32">
        <f t="shared" si="77"/>
        <v>81</v>
      </c>
      <c r="AG128" s="36">
        <f t="shared" si="89"/>
        <v>76</v>
      </c>
      <c r="AH128" s="36"/>
      <c r="AI128" s="36"/>
      <c r="AJ128" s="36"/>
      <c r="AK128" s="188">
        <f t="shared" si="87"/>
        <v>76</v>
      </c>
      <c r="AL128" s="168">
        <f>V128+L128</f>
        <v>81</v>
      </c>
      <c r="AM128" s="33">
        <f>AA128+Q128</f>
        <v>76</v>
      </c>
      <c r="AN128" s="169">
        <f>SUM(L128,Q128,V128,AA128)</f>
        <v>157</v>
      </c>
      <c r="AO128" s="60" t="s">
        <v>418</v>
      </c>
      <c r="AP128" s="116"/>
      <c r="AQ128" s="116"/>
      <c r="AR128" s="116"/>
      <c r="AS128" s="116"/>
      <c r="AT128" s="116"/>
      <c r="AU128" s="116"/>
      <c r="AV128" s="116"/>
      <c r="AW128" s="116"/>
      <c r="AX128" s="116"/>
      <c r="AY128" s="116"/>
      <c r="AZ128" s="116"/>
      <c r="BA128" s="116"/>
      <c r="BB128" s="116"/>
      <c r="BC128" s="116"/>
      <c r="BD128" s="116"/>
      <c r="BE128" s="116"/>
      <c r="BF128" s="116"/>
    </row>
    <row r="129" spans="1:58" ht="43.5" customHeight="1">
      <c r="A129" s="74" t="s">
        <v>419</v>
      </c>
      <c r="B129" s="39" t="s">
        <v>420</v>
      </c>
      <c r="C129" s="53" t="s">
        <v>421</v>
      </c>
      <c r="D129" s="9" t="s">
        <v>17</v>
      </c>
      <c r="E129" s="135"/>
      <c r="F129" s="135"/>
      <c r="G129" s="135"/>
      <c r="H129" s="48">
        <v>0.7</v>
      </c>
      <c r="I129" s="48"/>
      <c r="J129" s="48"/>
      <c r="K129" s="48"/>
      <c r="L129" s="49">
        <f t="shared" si="39"/>
        <v>0.7</v>
      </c>
      <c r="M129" s="48">
        <v>0.7</v>
      </c>
      <c r="N129" s="48"/>
      <c r="O129" s="48"/>
      <c r="P129" s="48"/>
      <c r="Q129" s="49">
        <f t="shared" si="40"/>
        <v>0.7</v>
      </c>
      <c r="R129" s="48">
        <v>0.7</v>
      </c>
      <c r="S129" s="48"/>
      <c r="T129" s="48"/>
      <c r="U129" s="48"/>
      <c r="V129" s="49">
        <f t="shared" si="41"/>
        <v>0.7</v>
      </c>
      <c r="W129" s="48">
        <v>0.7</v>
      </c>
      <c r="X129" s="131"/>
      <c r="Y129" s="48"/>
      <c r="Z129" s="48"/>
      <c r="AA129" s="191">
        <f t="shared" si="42"/>
        <v>0.7</v>
      </c>
      <c r="AB129" s="48">
        <v>0.7</v>
      </c>
      <c r="AC129" s="48"/>
      <c r="AD129" s="48"/>
      <c r="AE129" s="48"/>
      <c r="AF129" s="49">
        <f t="shared" si="77"/>
        <v>0.7</v>
      </c>
      <c r="AG129" s="48">
        <v>0.7</v>
      </c>
      <c r="AH129" s="131"/>
      <c r="AI129" s="48"/>
      <c r="AJ129" s="48"/>
      <c r="AK129" s="191">
        <f t="shared" si="87"/>
        <v>0.7</v>
      </c>
      <c r="AL129" s="166">
        <v>0.7</v>
      </c>
      <c r="AM129" s="34">
        <v>0.7</v>
      </c>
      <c r="AN129" s="167">
        <v>0.7</v>
      </c>
      <c r="AO129" s="66" t="s">
        <v>422</v>
      </c>
      <c r="AP129" s="116"/>
      <c r="AQ129" s="116"/>
      <c r="AR129" s="116"/>
      <c r="AS129" s="116"/>
      <c r="AT129" s="116"/>
      <c r="AU129" s="116"/>
      <c r="AV129" s="116"/>
      <c r="AW129" s="116"/>
      <c r="AX129" s="116"/>
      <c r="AY129" s="116"/>
      <c r="AZ129" s="116"/>
      <c r="BA129" s="116"/>
      <c r="BB129" s="116"/>
      <c r="BC129" s="116"/>
      <c r="BD129" s="116"/>
      <c r="BE129" s="116"/>
      <c r="BF129" s="116"/>
    </row>
    <row r="130" spans="1:58" ht="43.5" customHeight="1">
      <c r="A130" s="226" t="s">
        <v>423</v>
      </c>
      <c r="B130" s="39" t="s">
        <v>424</v>
      </c>
      <c r="C130" s="53" t="s">
        <v>425</v>
      </c>
      <c r="D130" s="9" t="s">
        <v>17</v>
      </c>
      <c r="E130" s="135"/>
      <c r="F130" s="135"/>
      <c r="G130" s="135"/>
      <c r="H130" s="130">
        <v>260</v>
      </c>
      <c r="I130" s="36">
        <v>0</v>
      </c>
      <c r="J130" s="36">
        <v>0</v>
      </c>
      <c r="K130" s="36">
        <v>0</v>
      </c>
      <c r="L130" s="32">
        <f t="shared" ref="L130:L135" si="90">SUM(H130:K130)</f>
        <v>260</v>
      </c>
      <c r="M130" s="130">
        <v>140</v>
      </c>
      <c r="N130" s="36"/>
      <c r="O130" s="36"/>
      <c r="P130" s="36"/>
      <c r="Q130" s="32">
        <f t="shared" ref="Q130:Q135" si="91">SUM(M130:P130)</f>
        <v>140</v>
      </c>
      <c r="R130" s="130">
        <v>275</v>
      </c>
      <c r="S130" s="36"/>
      <c r="T130" s="36"/>
      <c r="U130" s="36"/>
      <c r="V130" s="32">
        <f t="shared" ref="V130:V135" si="92">SUM(R130:U130)</f>
        <v>275</v>
      </c>
      <c r="W130" s="130">
        <v>385</v>
      </c>
      <c r="X130" s="36"/>
      <c r="Y130" s="36"/>
      <c r="Z130" s="36"/>
      <c r="AA130" s="188">
        <f t="shared" ref="AA130:AA135" si="93">SUM(W130:Z130)</f>
        <v>385</v>
      </c>
      <c r="AB130" s="36">
        <f t="shared" ref="AB130:AB131" si="94">R130+H130</f>
        <v>535</v>
      </c>
      <c r="AC130" s="36"/>
      <c r="AD130" s="36"/>
      <c r="AE130" s="36"/>
      <c r="AF130" s="32">
        <f t="shared" si="77"/>
        <v>535</v>
      </c>
      <c r="AG130" s="36">
        <f t="shared" ref="AG130:AG131" si="95">W130+M130</f>
        <v>525</v>
      </c>
      <c r="AH130" s="36"/>
      <c r="AI130" s="36"/>
      <c r="AJ130" s="36"/>
      <c r="AK130" s="188">
        <f t="shared" si="87"/>
        <v>525</v>
      </c>
      <c r="AL130" s="168">
        <f>V130+L130</f>
        <v>535</v>
      </c>
      <c r="AM130" s="33">
        <f>AA130+Q130</f>
        <v>525</v>
      </c>
      <c r="AN130" s="169">
        <f>SUM(L130,Q130,V130,AA130)</f>
        <v>1060</v>
      </c>
      <c r="AO130" s="60" t="s">
        <v>426</v>
      </c>
      <c r="AP130" s="116"/>
      <c r="AQ130" s="116"/>
      <c r="AR130" s="116"/>
      <c r="AS130" s="116"/>
      <c r="AT130" s="116"/>
      <c r="AU130" s="116"/>
      <c r="AV130" s="116"/>
      <c r="AW130" s="116"/>
      <c r="AX130" s="116"/>
      <c r="AY130" s="116"/>
      <c r="AZ130" s="116"/>
      <c r="BA130" s="116"/>
      <c r="BB130" s="116"/>
      <c r="BC130" s="116"/>
      <c r="BD130" s="116"/>
      <c r="BE130" s="116"/>
      <c r="BF130" s="116"/>
    </row>
    <row r="131" spans="1:58" ht="67.95" customHeight="1">
      <c r="A131" s="226"/>
      <c r="B131" s="39" t="s">
        <v>427</v>
      </c>
      <c r="C131" s="53" t="s">
        <v>428</v>
      </c>
      <c r="D131" s="9" t="s">
        <v>17</v>
      </c>
      <c r="E131" s="135"/>
      <c r="F131" s="135"/>
      <c r="G131" s="135"/>
      <c r="H131" s="130">
        <v>350</v>
      </c>
      <c r="I131" s="36">
        <v>0</v>
      </c>
      <c r="J131" s="36">
        <v>0</v>
      </c>
      <c r="K131" s="36">
        <v>0</v>
      </c>
      <c r="L131" s="32">
        <f t="shared" si="90"/>
        <v>350</v>
      </c>
      <c r="M131" s="130">
        <v>350</v>
      </c>
      <c r="N131" s="36"/>
      <c r="O131" s="36"/>
      <c r="P131" s="36"/>
      <c r="Q131" s="32">
        <f t="shared" si="91"/>
        <v>350</v>
      </c>
      <c r="R131" s="130">
        <v>150</v>
      </c>
      <c r="S131" s="36"/>
      <c r="T131" s="36"/>
      <c r="U131" s="36"/>
      <c r="V131" s="32">
        <f t="shared" si="92"/>
        <v>150</v>
      </c>
      <c r="W131" s="130">
        <v>150</v>
      </c>
      <c r="X131" s="36"/>
      <c r="Y131" s="36"/>
      <c r="Z131" s="36"/>
      <c r="AA131" s="188">
        <f t="shared" si="93"/>
        <v>150</v>
      </c>
      <c r="AB131" s="36">
        <f t="shared" si="94"/>
        <v>500</v>
      </c>
      <c r="AC131" s="36"/>
      <c r="AD131" s="36"/>
      <c r="AE131" s="36"/>
      <c r="AF131" s="32">
        <f t="shared" si="77"/>
        <v>500</v>
      </c>
      <c r="AG131" s="36">
        <f t="shared" si="95"/>
        <v>500</v>
      </c>
      <c r="AH131" s="36"/>
      <c r="AI131" s="36"/>
      <c r="AJ131" s="36"/>
      <c r="AK131" s="188">
        <f t="shared" si="87"/>
        <v>500</v>
      </c>
      <c r="AL131" s="168">
        <f>V131+L131</f>
        <v>500</v>
      </c>
      <c r="AM131" s="33">
        <f>AA131+Q131</f>
        <v>500</v>
      </c>
      <c r="AN131" s="169">
        <f>SUM(L131,Q131,V131,AA131)</f>
        <v>1000</v>
      </c>
      <c r="AO131" s="61" t="s">
        <v>429</v>
      </c>
      <c r="AP131" s="116"/>
      <c r="AQ131" s="116"/>
      <c r="AR131" s="116"/>
      <c r="AS131" s="116"/>
      <c r="AT131" s="116"/>
      <c r="AU131" s="116"/>
      <c r="AV131" s="116"/>
      <c r="AW131" s="116"/>
      <c r="AX131" s="116"/>
      <c r="AY131" s="116"/>
      <c r="AZ131" s="116"/>
      <c r="BA131" s="116"/>
      <c r="BB131" s="116"/>
      <c r="BC131" s="116"/>
      <c r="BD131" s="116"/>
      <c r="BE131" s="116"/>
      <c r="BF131" s="116"/>
    </row>
    <row r="132" spans="1:58" ht="43.5" customHeight="1">
      <c r="A132" s="227" t="s">
        <v>430</v>
      </c>
      <c r="B132" s="29" t="s">
        <v>431</v>
      </c>
      <c r="C132" s="53" t="s">
        <v>432</v>
      </c>
      <c r="D132" s="9" t="s">
        <v>17</v>
      </c>
      <c r="E132" s="135"/>
      <c r="F132" s="135"/>
      <c r="G132" s="135"/>
      <c r="H132" s="36"/>
      <c r="I132" s="36"/>
      <c r="J132" s="36"/>
      <c r="K132" s="36"/>
      <c r="L132" s="32">
        <f t="shared" si="90"/>
        <v>0</v>
      </c>
      <c r="M132" s="36"/>
      <c r="N132" s="36"/>
      <c r="O132" s="36"/>
      <c r="P132" s="36"/>
      <c r="Q132" s="32">
        <f t="shared" si="91"/>
        <v>0</v>
      </c>
      <c r="R132" s="36"/>
      <c r="S132" s="36"/>
      <c r="T132" s="36"/>
      <c r="U132" s="36"/>
      <c r="V132" s="32">
        <f t="shared" si="92"/>
        <v>0</v>
      </c>
      <c r="W132" s="36"/>
      <c r="X132" s="36"/>
      <c r="Y132" s="36"/>
      <c r="Z132" s="36"/>
      <c r="AA132" s="188">
        <f t="shared" si="93"/>
        <v>0</v>
      </c>
      <c r="AB132" s="36"/>
      <c r="AC132" s="36"/>
      <c r="AD132" s="36"/>
      <c r="AE132" s="36"/>
      <c r="AF132" s="32">
        <f t="shared" si="77"/>
        <v>0</v>
      </c>
      <c r="AG132" s="36"/>
      <c r="AH132" s="36"/>
      <c r="AI132" s="36"/>
      <c r="AJ132" s="36"/>
      <c r="AK132" s="188">
        <f t="shared" si="87"/>
        <v>0</v>
      </c>
      <c r="AL132" s="195">
        <v>0</v>
      </c>
      <c r="AM132" s="166">
        <v>0.7</v>
      </c>
      <c r="AN132" s="166">
        <v>0.7</v>
      </c>
      <c r="AO132" s="61" t="s">
        <v>433</v>
      </c>
      <c r="AP132" s="116"/>
      <c r="AQ132" s="116"/>
      <c r="AR132" s="116"/>
      <c r="AS132" s="116"/>
      <c r="AT132" s="116"/>
      <c r="AU132" s="116"/>
      <c r="AV132" s="116"/>
      <c r="AW132" s="116"/>
      <c r="AX132" s="116"/>
      <c r="AY132" s="116"/>
      <c r="AZ132" s="116"/>
      <c r="BA132" s="116"/>
      <c r="BB132" s="116"/>
      <c r="BC132" s="116"/>
      <c r="BD132" s="116"/>
      <c r="BE132" s="116"/>
      <c r="BF132" s="116"/>
    </row>
    <row r="133" spans="1:58" ht="43.5" customHeight="1">
      <c r="A133" s="227"/>
      <c r="B133" s="29" t="s">
        <v>434</v>
      </c>
      <c r="C133" s="53" t="s">
        <v>435</v>
      </c>
      <c r="D133" s="9" t="s">
        <v>17</v>
      </c>
      <c r="E133" s="135"/>
      <c r="F133" s="135"/>
      <c r="G133" s="135"/>
      <c r="H133" s="36"/>
      <c r="I133" s="36"/>
      <c r="J133" s="36"/>
      <c r="K133" s="36"/>
      <c r="L133" s="32">
        <f t="shared" si="90"/>
        <v>0</v>
      </c>
      <c r="M133" s="36"/>
      <c r="N133" s="36"/>
      <c r="O133" s="36"/>
      <c r="P133" s="36"/>
      <c r="Q133" s="32">
        <f t="shared" si="91"/>
        <v>0</v>
      </c>
      <c r="R133" s="36"/>
      <c r="S133" s="36"/>
      <c r="T133" s="36"/>
      <c r="U133" s="36"/>
      <c r="V133" s="32">
        <f t="shared" si="92"/>
        <v>0</v>
      </c>
      <c r="W133" s="36"/>
      <c r="X133" s="36"/>
      <c r="Y133" s="36"/>
      <c r="Z133" s="36"/>
      <c r="AA133" s="188">
        <f t="shared" si="93"/>
        <v>0</v>
      </c>
      <c r="AB133" s="36"/>
      <c r="AC133" s="36"/>
      <c r="AD133" s="36"/>
      <c r="AE133" s="36"/>
      <c r="AF133" s="32">
        <f t="shared" si="77"/>
        <v>0</v>
      </c>
      <c r="AG133" s="36"/>
      <c r="AH133" s="36"/>
      <c r="AI133" s="36"/>
      <c r="AJ133" s="36"/>
      <c r="AK133" s="188">
        <f t="shared" si="87"/>
        <v>0</v>
      </c>
      <c r="AL133" s="195">
        <v>0</v>
      </c>
      <c r="AM133" s="166">
        <v>0.7</v>
      </c>
      <c r="AN133" s="166">
        <v>0.7</v>
      </c>
      <c r="AO133" s="61" t="s">
        <v>436</v>
      </c>
      <c r="AP133" s="116"/>
      <c r="AQ133" s="116"/>
      <c r="AR133" s="116"/>
      <c r="AS133" s="116"/>
      <c r="AT133" s="116"/>
      <c r="AU133" s="116"/>
      <c r="AV133" s="116"/>
      <c r="AW133" s="116"/>
      <c r="AX133" s="116"/>
      <c r="AY133" s="116"/>
      <c r="AZ133" s="116"/>
      <c r="BA133" s="116"/>
      <c r="BB133" s="116"/>
      <c r="BC133" s="116"/>
      <c r="BD133" s="116"/>
      <c r="BE133" s="116"/>
      <c r="BF133" s="116"/>
    </row>
    <row r="134" spans="1:58" ht="53.4" customHeight="1">
      <c r="A134" s="222" t="s">
        <v>437</v>
      </c>
      <c r="B134" s="39" t="s">
        <v>438</v>
      </c>
      <c r="C134" s="53" t="s">
        <v>439</v>
      </c>
      <c r="D134" s="9" t="s">
        <v>17</v>
      </c>
      <c r="E134" s="135"/>
      <c r="F134" s="135"/>
      <c r="G134" s="135"/>
      <c r="H134" s="36"/>
      <c r="I134" s="36"/>
      <c r="J134" s="36"/>
      <c r="K134" s="36"/>
      <c r="L134" s="32">
        <f t="shared" si="90"/>
        <v>0</v>
      </c>
      <c r="M134" s="36">
        <v>70</v>
      </c>
      <c r="N134" s="36"/>
      <c r="O134" s="36"/>
      <c r="P134" s="36"/>
      <c r="Q134" s="32">
        <f t="shared" si="91"/>
        <v>70</v>
      </c>
      <c r="R134" s="36"/>
      <c r="S134" s="57"/>
      <c r="T134" s="36"/>
      <c r="U134" s="36"/>
      <c r="V134" s="32">
        <f t="shared" si="92"/>
        <v>0</v>
      </c>
      <c r="W134" s="118">
        <v>170</v>
      </c>
      <c r="X134" s="36"/>
      <c r="Y134" s="36"/>
      <c r="Z134" s="36"/>
      <c r="AA134" s="188">
        <f t="shared" si="93"/>
        <v>170</v>
      </c>
      <c r="AB134" s="36"/>
      <c r="AC134" s="36"/>
      <c r="AD134" s="36"/>
      <c r="AE134" s="36"/>
      <c r="AF134" s="32">
        <f t="shared" si="77"/>
        <v>0</v>
      </c>
      <c r="AG134" s="36">
        <f t="shared" ref="AG134:AG135" si="96">W134+M134</f>
        <v>240</v>
      </c>
      <c r="AH134" s="36"/>
      <c r="AI134" s="36"/>
      <c r="AJ134" s="36"/>
      <c r="AK134" s="188">
        <f t="shared" si="87"/>
        <v>240</v>
      </c>
      <c r="AL134" s="168">
        <f>V134+L134</f>
        <v>0</v>
      </c>
      <c r="AM134" s="33">
        <f>AA134+Q134</f>
        <v>240</v>
      </c>
      <c r="AN134" s="169">
        <f>SUM(L134,Q134,V134,AA134)</f>
        <v>240</v>
      </c>
      <c r="AO134" s="60" t="s">
        <v>440</v>
      </c>
      <c r="AP134" s="116"/>
      <c r="AQ134" s="116"/>
      <c r="AR134" s="116"/>
      <c r="AS134" s="116"/>
      <c r="AT134" s="116"/>
      <c r="AU134" s="116"/>
      <c r="AV134" s="116"/>
      <c r="AW134" s="116"/>
      <c r="AX134" s="116"/>
      <c r="AY134" s="116"/>
      <c r="AZ134" s="116"/>
      <c r="BA134" s="116"/>
      <c r="BB134" s="116"/>
      <c r="BC134" s="116"/>
      <c r="BD134" s="116"/>
      <c r="BE134" s="116"/>
      <c r="BF134" s="116"/>
    </row>
    <row r="135" spans="1:58" ht="43.5" customHeight="1">
      <c r="A135" s="222"/>
      <c r="B135" s="39" t="s">
        <v>441</v>
      </c>
      <c r="C135" s="53" t="s">
        <v>442</v>
      </c>
      <c r="D135" s="9" t="s">
        <v>17</v>
      </c>
      <c r="E135" s="135"/>
      <c r="F135" s="135"/>
      <c r="G135" s="135"/>
      <c r="H135" s="36"/>
      <c r="I135" s="36"/>
      <c r="J135" s="36"/>
      <c r="K135" s="36"/>
      <c r="L135" s="32">
        <f t="shared" si="90"/>
        <v>0</v>
      </c>
      <c r="M135" s="36">
        <v>1400</v>
      </c>
      <c r="N135" s="36"/>
      <c r="O135" s="36"/>
      <c r="P135" s="36"/>
      <c r="Q135" s="32">
        <f t="shared" si="91"/>
        <v>1400</v>
      </c>
      <c r="R135" s="36"/>
      <c r="S135" s="36"/>
      <c r="T135" s="36"/>
      <c r="U135" s="36"/>
      <c r="V135" s="32">
        <f t="shared" si="92"/>
        <v>0</v>
      </c>
      <c r="W135" s="118">
        <v>3400</v>
      </c>
      <c r="X135" s="36"/>
      <c r="Y135" s="36"/>
      <c r="Z135" s="36"/>
      <c r="AA135" s="188">
        <f t="shared" si="93"/>
        <v>3400</v>
      </c>
      <c r="AB135" s="36"/>
      <c r="AC135" s="36"/>
      <c r="AD135" s="36"/>
      <c r="AE135" s="36"/>
      <c r="AF135" s="32">
        <f t="shared" si="77"/>
        <v>0</v>
      </c>
      <c r="AG135" s="36">
        <f t="shared" si="96"/>
        <v>4800</v>
      </c>
      <c r="AH135" s="36"/>
      <c r="AI135" s="36"/>
      <c r="AJ135" s="36"/>
      <c r="AK135" s="188">
        <f t="shared" si="87"/>
        <v>4800</v>
      </c>
      <c r="AL135" s="168">
        <f>V135+L135</f>
        <v>0</v>
      </c>
      <c r="AM135" s="33">
        <f>AA135+Q135</f>
        <v>4800</v>
      </c>
      <c r="AN135" s="169">
        <f>SUM(L135,Q135,V135,AA135)</f>
        <v>4800</v>
      </c>
      <c r="AO135" s="60" t="s">
        <v>443</v>
      </c>
      <c r="AP135" s="116"/>
      <c r="AQ135" s="116"/>
      <c r="AR135" s="116"/>
      <c r="AS135" s="116"/>
      <c r="AT135" s="116"/>
      <c r="AU135" s="116"/>
      <c r="AV135" s="116"/>
      <c r="AW135" s="116"/>
      <c r="AX135" s="116"/>
      <c r="AY135" s="116"/>
      <c r="AZ135" s="116"/>
      <c r="BA135" s="116"/>
      <c r="BB135" s="116"/>
      <c r="BC135" s="116"/>
      <c r="BD135" s="116"/>
      <c r="BE135" s="116"/>
      <c r="BF135" s="116"/>
    </row>
    <row r="136" spans="1:58" ht="16.2" customHeight="1">
      <c r="A136" s="111" t="s">
        <v>444</v>
      </c>
      <c r="B136" s="107"/>
      <c r="C136" s="108"/>
      <c r="D136" s="5" t="s">
        <v>17</v>
      </c>
      <c r="E136" s="6" t="s">
        <v>18</v>
      </c>
      <c r="F136" s="7" t="s">
        <v>19</v>
      </c>
      <c r="G136" s="8" t="s">
        <v>20</v>
      </c>
      <c r="H136" s="109"/>
      <c r="I136" s="109"/>
      <c r="J136" s="109"/>
      <c r="K136" s="109"/>
      <c r="L136" s="109"/>
      <c r="M136" s="109"/>
      <c r="N136" s="109"/>
      <c r="O136" s="110"/>
      <c r="P136" s="82"/>
      <c r="Q136" s="82"/>
      <c r="R136" s="82"/>
      <c r="S136" s="82"/>
      <c r="T136" s="82"/>
      <c r="U136" s="82"/>
      <c r="V136" s="82"/>
      <c r="W136" s="82"/>
      <c r="X136" s="82"/>
      <c r="Y136" s="82"/>
      <c r="Z136" s="82"/>
      <c r="AA136" s="82"/>
      <c r="AB136" s="82"/>
      <c r="AC136" s="82"/>
      <c r="AD136" s="82"/>
      <c r="AE136" s="82"/>
      <c r="AF136" s="82"/>
      <c r="AG136" s="82"/>
      <c r="AH136" s="82"/>
      <c r="AI136" s="82"/>
      <c r="AJ136" s="82"/>
      <c r="AK136" s="82"/>
      <c r="AL136" s="179"/>
      <c r="AM136" s="82"/>
      <c r="AN136" s="175"/>
      <c r="AO136" s="68"/>
      <c r="AP136" s="116"/>
      <c r="AQ136" s="116"/>
      <c r="AR136" s="116"/>
      <c r="AS136" s="116"/>
      <c r="AT136" s="116"/>
      <c r="AU136" s="116"/>
      <c r="AV136" s="116"/>
      <c r="AW136" s="116"/>
      <c r="AX136" s="116"/>
      <c r="AY136" s="116"/>
      <c r="AZ136" s="116"/>
      <c r="BA136" s="116"/>
      <c r="BB136" s="116"/>
      <c r="BC136" s="116"/>
      <c r="BD136" s="116"/>
      <c r="BE136" s="116"/>
      <c r="BF136" s="116"/>
    </row>
    <row r="137" spans="1:58" ht="43.5" customHeight="1">
      <c r="A137" s="104" t="s">
        <v>445</v>
      </c>
      <c r="B137" s="105" t="s">
        <v>446</v>
      </c>
      <c r="C137" s="106" t="s">
        <v>447</v>
      </c>
      <c r="D137" s="138"/>
      <c r="E137" s="138"/>
      <c r="F137" s="139" t="s">
        <v>19</v>
      </c>
      <c r="G137" s="138"/>
      <c r="H137" s="45"/>
      <c r="I137" s="45"/>
      <c r="J137" s="45">
        <f>300-O137</f>
        <v>118</v>
      </c>
      <c r="K137" s="45"/>
      <c r="L137" s="88">
        <f>J137</f>
        <v>118</v>
      </c>
      <c r="M137" s="45"/>
      <c r="N137" s="45"/>
      <c r="O137" s="45">
        <v>182</v>
      </c>
      <c r="P137" s="45"/>
      <c r="Q137" s="88">
        <f>O137</f>
        <v>182</v>
      </c>
      <c r="R137" s="45"/>
      <c r="S137" s="45"/>
      <c r="T137" s="45">
        <f>525-Y137</f>
        <v>207</v>
      </c>
      <c r="U137" s="45"/>
      <c r="V137" s="88">
        <f>T137</f>
        <v>207</v>
      </c>
      <c r="W137" s="45"/>
      <c r="X137" s="45"/>
      <c r="Y137" s="45">
        <v>318</v>
      </c>
      <c r="Z137" s="45"/>
      <c r="AA137" s="187">
        <f>Y137</f>
        <v>318</v>
      </c>
      <c r="AB137" s="45"/>
      <c r="AC137" s="45"/>
      <c r="AD137" s="45">
        <f>T137+J137</f>
        <v>325</v>
      </c>
      <c r="AE137" s="45"/>
      <c r="AF137" s="88">
        <f>AD137</f>
        <v>325</v>
      </c>
      <c r="AG137" s="45"/>
      <c r="AH137" s="45"/>
      <c r="AI137" s="45">
        <f>Y137+O137</f>
        <v>500</v>
      </c>
      <c r="AJ137" s="45"/>
      <c r="AK137" s="187">
        <f>AI137</f>
        <v>500</v>
      </c>
      <c r="AL137" s="176">
        <f>V137+L137</f>
        <v>325</v>
      </c>
      <c r="AM137" s="89">
        <f>AA137+Q137</f>
        <v>500</v>
      </c>
      <c r="AN137" s="180">
        <f>SUM(AL137:AM137)</f>
        <v>825</v>
      </c>
      <c r="AO137" s="69" t="s">
        <v>448</v>
      </c>
      <c r="AP137" s="116"/>
      <c r="AQ137" s="116"/>
      <c r="AR137" s="116"/>
      <c r="AS137" s="116"/>
      <c r="AT137" s="116"/>
      <c r="AU137" s="116"/>
      <c r="AV137" s="116"/>
      <c r="AW137" s="116"/>
      <c r="AX137" s="116"/>
      <c r="AY137" s="116"/>
      <c r="AZ137" s="116"/>
      <c r="BA137" s="116"/>
      <c r="BB137" s="116"/>
      <c r="BC137" s="116"/>
      <c r="BD137" s="116"/>
      <c r="BE137" s="116"/>
      <c r="BF137" s="116"/>
    </row>
    <row r="138" spans="1:58" ht="43.5" customHeight="1">
      <c r="A138" s="39" t="s">
        <v>449</v>
      </c>
      <c r="B138" s="77" t="s">
        <v>450</v>
      </c>
      <c r="C138" s="78" t="s">
        <v>451</v>
      </c>
      <c r="D138" s="135"/>
      <c r="E138" s="135"/>
      <c r="F138" s="141" t="s">
        <v>19</v>
      </c>
      <c r="G138" s="135"/>
      <c r="H138" s="36"/>
      <c r="I138" s="36"/>
      <c r="J138" s="36">
        <v>165</v>
      </c>
      <c r="K138" s="36"/>
      <c r="L138" s="32">
        <f t="shared" ref="L138:L141" si="97">J138</f>
        <v>165</v>
      </c>
      <c r="M138" s="36"/>
      <c r="N138" s="36"/>
      <c r="O138" s="36">
        <f>300-165</f>
        <v>135</v>
      </c>
      <c r="P138" s="36"/>
      <c r="Q138" s="32">
        <f t="shared" ref="Q138:Q141" si="98">O138</f>
        <v>135</v>
      </c>
      <c r="R138" s="36"/>
      <c r="S138" s="36"/>
      <c r="T138" s="36">
        <v>385</v>
      </c>
      <c r="U138" s="36"/>
      <c r="V138" s="32">
        <f t="shared" ref="V138:V141" si="99">T138</f>
        <v>385</v>
      </c>
      <c r="W138" s="36"/>
      <c r="X138" s="36"/>
      <c r="Y138" s="36">
        <f>700-T138</f>
        <v>315</v>
      </c>
      <c r="Z138" s="36"/>
      <c r="AA138" s="188">
        <f t="shared" ref="AA138:AA141" si="100">Y138</f>
        <v>315</v>
      </c>
      <c r="AB138" s="36"/>
      <c r="AC138" s="36"/>
      <c r="AD138" s="45">
        <f t="shared" ref="AD138:AD142" si="101">T138+J138</f>
        <v>550</v>
      </c>
      <c r="AE138" s="36"/>
      <c r="AF138" s="32">
        <f t="shared" ref="AF138:AF141" si="102">AD138</f>
        <v>550</v>
      </c>
      <c r="AG138" s="36"/>
      <c r="AH138" s="36"/>
      <c r="AI138" s="45">
        <f t="shared" ref="AI138:AI142" si="103">Y138+O138</f>
        <v>450</v>
      </c>
      <c r="AJ138" s="36"/>
      <c r="AK138" s="188">
        <f t="shared" ref="AK138:AK141" si="104">AI138</f>
        <v>450</v>
      </c>
      <c r="AL138" s="168">
        <f>V138+L138</f>
        <v>550</v>
      </c>
      <c r="AM138" s="33">
        <f>AA138+Q138</f>
        <v>450</v>
      </c>
      <c r="AN138" s="169">
        <f t="shared" ref="AN138:AN141" si="105">SUM(AL138:AM138)</f>
        <v>1000</v>
      </c>
      <c r="AO138" s="69" t="s">
        <v>452</v>
      </c>
      <c r="AP138" s="116"/>
      <c r="AQ138" s="116"/>
      <c r="AR138" s="116"/>
      <c r="AS138" s="116"/>
      <c r="AT138" s="116"/>
      <c r="AU138" s="116"/>
      <c r="AV138" s="116"/>
      <c r="AW138" s="116"/>
      <c r="AX138" s="116"/>
      <c r="AY138" s="116"/>
      <c r="AZ138" s="116"/>
      <c r="BA138" s="116"/>
      <c r="BB138" s="116"/>
      <c r="BC138" s="116"/>
      <c r="BD138" s="116"/>
      <c r="BE138" s="116"/>
      <c r="BF138" s="116"/>
    </row>
    <row r="139" spans="1:58" ht="43.5" customHeight="1">
      <c r="A139" s="39" t="s">
        <v>453</v>
      </c>
      <c r="B139" s="77" t="s">
        <v>454</v>
      </c>
      <c r="C139" s="78" t="s">
        <v>455</v>
      </c>
      <c r="D139" s="135"/>
      <c r="E139" s="135"/>
      <c r="F139" s="141" t="s">
        <v>19</v>
      </c>
      <c r="G139" s="135"/>
      <c r="H139" s="36"/>
      <c r="I139" s="36"/>
      <c r="J139" s="36">
        <v>148</v>
      </c>
      <c r="K139" s="36"/>
      <c r="L139" s="32">
        <f t="shared" si="97"/>
        <v>148</v>
      </c>
      <c r="M139" s="36"/>
      <c r="N139" s="36"/>
      <c r="O139" s="36">
        <f>275-J139</f>
        <v>127</v>
      </c>
      <c r="P139" s="36"/>
      <c r="Q139" s="32">
        <f t="shared" si="98"/>
        <v>127</v>
      </c>
      <c r="R139" s="36"/>
      <c r="S139" s="36"/>
      <c r="T139" s="75">
        <v>148</v>
      </c>
      <c r="U139" s="36"/>
      <c r="V139" s="32">
        <f t="shared" si="99"/>
        <v>148</v>
      </c>
      <c r="W139" s="36"/>
      <c r="X139" s="36"/>
      <c r="Y139" s="57">
        <f>574-T139</f>
        <v>426</v>
      </c>
      <c r="Z139" s="36"/>
      <c r="AA139" s="188">
        <f t="shared" si="100"/>
        <v>426</v>
      </c>
      <c r="AB139" s="36"/>
      <c r="AC139" s="36"/>
      <c r="AD139" s="45">
        <f t="shared" si="101"/>
        <v>296</v>
      </c>
      <c r="AE139" s="36"/>
      <c r="AF139" s="32">
        <f t="shared" si="102"/>
        <v>296</v>
      </c>
      <c r="AG139" s="36"/>
      <c r="AH139" s="36"/>
      <c r="AI139" s="45">
        <f t="shared" si="103"/>
        <v>553</v>
      </c>
      <c r="AJ139" s="36"/>
      <c r="AK139" s="188">
        <f t="shared" si="104"/>
        <v>553</v>
      </c>
      <c r="AL139" s="168">
        <f>V139+L139</f>
        <v>296</v>
      </c>
      <c r="AM139" s="33">
        <f>AA139+Q139</f>
        <v>553</v>
      </c>
      <c r="AN139" s="169">
        <f t="shared" si="105"/>
        <v>849</v>
      </c>
      <c r="AO139" s="69" t="s">
        <v>456</v>
      </c>
      <c r="AP139" s="116"/>
      <c r="AQ139" s="116"/>
      <c r="AR139" s="116"/>
      <c r="AS139" s="116"/>
      <c r="AT139" s="116"/>
      <c r="AU139" s="116"/>
      <c r="AV139" s="116"/>
      <c r="AW139" s="116"/>
      <c r="AX139" s="116"/>
      <c r="AY139" s="116"/>
      <c r="AZ139" s="116"/>
      <c r="BA139" s="116"/>
      <c r="BB139" s="116"/>
      <c r="BC139" s="116"/>
      <c r="BD139" s="116"/>
      <c r="BE139" s="116"/>
      <c r="BF139" s="116"/>
    </row>
    <row r="140" spans="1:58" ht="43.5" customHeight="1">
      <c r="A140" s="39" t="s">
        <v>457</v>
      </c>
      <c r="B140" s="79" t="s">
        <v>458</v>
      </c>
      <c r="C140" s="78" t="s">
        <v>459</v>
      </c>
      <c r="D140" s="135"/>
      <c r="E140" s="135"/>
      <c r="F140" s="141" t="s">
        <v>19</v>
      </c>
      <c r="G140" s="135"/>
      <c r="H140" s="36"/>
      <c r="I140" s="36"/>
      <c r="J140" s="36">
        <v>25</v>
      </c>
      <c r="K140" s="36"/>
      <c r="L140" s="32">
        <f t="shared" si="97"/>
        <v>25</v>
      </c>
      <c r="M140" s="36"/>
      <c r="N140" s="36"/>
      <c r="O140" s="36">
        <v>25</v>
      </c>
      <c r="P140" s="36"/>
      <c r="Q140" s="32">
        <f t="shared" si="98"/>
        <v>25</v>
      </c>
      <c r="R140" s="36"/>
      <c r="S140" s="36"/>
      <c r="T140" s="36">
        <v>275</v>
      </c>
      <c r="U140" s="36"/>
      <c r="V140" s="32">
        <f t="shared" si="99"/>
        <v>275</v>
      </c>
      <c r="W140" s="36"/>
      <c r="X140" s="36"/>
      <c r="Y140" s="36">
        <v>275</v>
      </c>
      <c r="Z140" s="36"/>
      <c r="AA140" s="188">
        <f t="shared" si="100"/>
        <v>275</v>
      </c>
      <c r="AB140" s="36"/>
      <c r="AC140" s="36"/>
      <c r="AD140" s="45">
        <f t="shared" si="101"/>
        <v>300</v>
      </c>
      <c r="AE140" s="36"/>
      <c r="AF140" s="32">
        <f t="shared" si="102"/>
        <v>300</v>
      </c>
      <c r="AG140" s="36"/>
      <c r="AH140" s="36"/>
      <c r="AI140" s="45">
        <f t="shared" si="103"/>
        <v>300</v>
      </c>
      <c r="AJ140" s="36"/>
      <c r="AK140" s="188">
        <f t="shared" si="104"/>
        <v>300</v>
      </c>
      <c r="AL140" s="168">
        <f>V140+L140</f>
        <v>300</v>
      </c>
      <c r="AM140" s="33">
        <f>AA140+Q140</f>
        <v>300</v>
      </c>
      <c r="AN140" s="169">
        <f t="shared" si="105"/>
        <v>600</v>
      </c>
      <c r="AO140" s="70" t="s">
        <v>460</v>
      </c>
      <c r="AP140" s="116"/>
      <c r="AQ140" s="116"/>
      <c r="AR140" s="116"/>
      <c r="AS140" s="116"/>
      <c r="AT140" s="116"/>
      <c r="AU140" s="116"/>
      <c r="AV140" s="116"/>
      <c r="AW140" s="116"/>
      <c r="AX140" s="116"/>
      <c r="AY140" s="116"/>
      <c r="AZ140" s="116"/>
      <c r="BA140" s="116"/>
      <c r="BB140" s="116"/>
      <c r="BC140" s="116"/>
      <c r="BD140" s="116"/>
      <c r="BE140" s="116"/>
      <c r="BF140" s="116"/>
    </row>
    <row r="141" spans="1:58" ht="43.5" customHeight="1" thickBot="1">
      <c r="A141" s="39" t="s">
        <v>461</v>
      </c>
      <c r="B141" s="77" t="s">
        <v>462</v>
      </c>
      <c r="C141" s="78" t="s">
        <v>463</v>
      </c>
      <c r="D141" s="135"/>
      <c r="E141" s="135"/>
      <c r="F141" s="141" t="s">
        <v>19</v>
      </c>
      <c r="G141" s="135"/>
      <c r="H141" s="36"/>
      <c r="I141" s="36"/>
      <c r="J141" s="36">
        <v>58</v>
      </c>
      <c r="K141" s="36"/>
      <c r="L141" s="32">
        <f t="shared" si="97"/>
        <v>58</v>
      </c>
      <c r="M141" s="36"/>
      <c r="N141" s="36"/>
      <c r="O141" s="36">
        <f>150-J141</f>
        <v>92</v>
      </c>
      <c r="P141" s="36"/>
      <c r="Q141" s="32">
        <f t="shared" si="98"/>
        <v>92</v>
      </c>
      <c r="R141" s="36"/>
      <c r="S141" s="36"/>
      <c r="T141" s="36">
        <v>177</v>
      </c>
      <c r="U141" s="36"/>
      <c r="V141" s="32">
        <f t="shared" si="99"/>
        <v>177</v>
      </c>
      <c r="W141" s="36"/>
      <c r="X141" s="36"/>
      <c r="Y141" s="36">
        <f>305-T141</f>
        <v>128</v>
      </c>
      <c r="Z141" s="36"/>
      <c r="AA141" s="188">
        <f t="shared" si="100"/>
        <v>128</v>
      </c>
      <c r="AB141" s="36"/>
      <c r="AC141" s="36"/>
      <c r="AD141" s="45">
        <f t="shared" si="101"/>
        <v>235</v>
      </c>
      <c r="AE141" s="36"/>
      <c r="AF141" s="32">
        <f t="shared" si="102"/>
        <v>235</v>
      </c>
      <c r="AG141" s="36"/>
      <c r="AH141" s="36"/>
      <c r="AI141" s="45">
        <f t="shared" si="103"/>
        <v>220</v>
      </c>
      <c r="AJ141" s="36"/>
      <c r="AK141" s="188">
        <f t="shared" si="104"/>
        <v>220</v>
      </c>
      <c r="AL141" s="181">
        <f>V141+L141</f>
        <v>235</v>
      </c>
      <c r="AM141" s="182">
        <f>AA141+Q141</f>
        <v>220</v>
      </c>
      <c r="AN141" s="183">
        <f t="shared" si="105"/>
        <v>455</v>
      </c>
      <c r="AO141" s="71" t="s">
        <v>464</v>
      </c>
      <c r="AP141" s="116"/>
      <c r="AQ141" s="116"/>
      <c r="AR141" s="116"/>
      <c r="AS141" s="116"/>
      <c r="AT141" s="116"/>
      <c r="AU141" s="116"/>
      <c r="AV141" s="116"/>
      <c r="AW141" s="116"/>
      <c r="AX141" s="116"/>
      <c r="AY141" s="116"/>
      <c r="AZ141" s="116"/>
      <c r="BA141" s="116"/>
      <c r="BB141" s="116"/>
      <c r="BC141" s="116"/>
      <c r="BD141" s="116"/>
      <c r="BE141" s="116"/>
      <c r="BF141" s="116"/>
    </row>
    <row r="142" spans="1:58" ht="43.5" customHeight="1" thickBot="1">
      <c r="A142" s="39" t="s">
        <v>465</v>
      </c>
      <c r="B142" s="217" t="s">
        <v>466</v>
      </c>
      <c r="C142" s="218" t="s">
        <v>467</v>
      </c>
      <c r="D142" s="135"/>
      <c r="E142" s="135"/>
      <c r="F142" s="141" t="s">
        <v>19</v>
      </c>
      <c r="G142" s="135"/>
      <c r="H142" s="36"/>
      <c r="I142" s="36"/>
      <c r="J142" s="36"/>
      <c r="K142" s="36"/>
      <c r="L142" s="32"/>
      <c r="M142" s="36"/>
      <c r="N142" s="36"/>
      <c r="O142" s="36"/>
      <c r="P142" s="36"/>
      <c r="Q142" s="32"/>
      <c r="R142" s="36"/>
      <c r="S142" s="36"/>
      <c r="T142" s="36"/>
      <c r="U142" s="36"/>
      <c r="V142" s="32"/>
      <c r="W142" s="36"/>
      <c r="X142" s="36"/>
      <c r="Y142" s="36">
        <v>1</v>
      </c>
      <c r="Z142" s="36"/>
      <c r="AA142" s="188">
        <f>Y142</f>
        <v>1</v>
      </c>
      <c r="AB142" s="36"/>
      <c r="AC142" s="36"/>
      <c r="AD142" s="45">
        <f t="shared" si="101"/>
        <v>0</v>
      </c>
      <c r="AE142" s="36"/>
      <c r="AF142" s="32"/>
      <c r="AG142" s="36"/>
      <c r="AH142" s="36"/>
      <c r="AI142" s="45">
        <f t="shared" si="103"/>
        <v>1</v>
      </c>
      <c r="AJ142" s="36"/>
      <c r="AK142" s="188">
        <f>AI142</f>
        <v>1</v>
      </c>
      <c r="AL142" s="181">
        <v>0</v>
      </c>
      <c r="AM142" s="182">
        <f>AA142</f>
        <v>1</v>
      </c>
      <c r="AN142" s="183">
        <f>AM142</f>
        <v>1</v>
      </c>
      <c r="AO142" s="71" t="s">
        <v>468</v>
      </c>
      <c r="AP142" s="116"/>
      <c r="AQ142" s="116"/>
      <c r="AR142" s="116"/>
      <c r="AS142" s="116"/>
      <c r="AT142" s="116"/>
      <c r="AU142" s="116"/>
      <c r="AV142" s="116"/>
      <c r="AW142" s="116"/>
      <c r="AX142" s="116"/>
      <c r="AY142" s="116"/>
      <c r="AZ142" s="116"/>
      <c r="BA142" s="116"/>
      <c r="BB142" s="116"/>
      <c r="BC142" s="116"/>
      <c r="BD142" s="116"/>
      <c r="BE142" s="116"/>
      <c r="BF142" s="116"/>
    </row>
    <row r="143" spans="1:58" ht="43.5" customHeight="1">
      <c r="A143" s="129"/>
      <c r="B143" s="116"/>
      <c r="C143" s="116"/>
      <c r="D143" s="148"/>
      <c r="E143" s="148"/>
      <c r="F143" s="148"/>
      <c r="G143" s="148"/>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c r="AI143" s="116"/>
      <c r="AJ143" s="116"/>
      <c r="AK143" s="116"/>
      <c r="AL143" s="116"/>
      <c r="AM143" s="116"/>
      <c r="AN143" s="116"/>
      <c r="AO143" s="116"/>
      <c r="AP143" s="116"/>
      <c r="AQ143" s="116"/>
      <c r="AR143" s="116"/>
      <c r="AS143" s="116"/>
      <c r="AT143" s="116"/>
      <c r="AU143" s="116"/>
      <c r="AV143" s="116"/>
      <c r="AW143" s="116"/>
      <c r="AX143" s="116"/>
      <c r="AY143" s="116"/>
      <c r="AZ143" s="116"/>
      <c r="BA143" s="116"/>
      <c r="BB143" s="116"/>
      <c r="BC143" s="116"/>
      <c r="BD143" s="116"/>
      <c r="BE143" s="116"/>
      <c r="BF143" s="116"/>
    </row>
    <row r="144" spans="1:58" ht="43.5" customHeight="1">
      <c r="A144" s="129"/>
      <c r="B144" s="116"/>
      <c r="C144" s="116"/>
      <c r="D144" s="148"/>
      <c r="E144" s="148"/>
      <c r="F144" s="148"/>
      <c r="G144" s="148"/>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c r="AI144" s="116"/>
      <c r="AJ144" s="116"/>
      <c r="AK144" s="116"/>
      <c r="AL144" s="116"/>
      <c r="AM144" s="116"/>
      <c r="AN144" s="116"/>
      <c r="AO144" s="116"/>
      <c r="AP144" s="116"/>
      <c r="AQ144" s="116"/>
      <c r="AR144" s="116"/>
      <c r="AS144" s="116"/>
      <c r="AT144" s="116"/>
      <c r="AU144" s="116"/>
      <c r="AV144" s="116"/>
      <c r="AW144" s="116"/>
      <c r="AX144" s="116"/>
      <c r="AY144" s="116"/>
      <c r="AZ144" s="116"/>
      <c r="BA144" s="116"/>
      <c r="BB144" s="116"/>
      <c r="BC144" s="116"/>
      <c r="BD144" s="116"/>
      <c r="BE144" s="116"/>
      <c r="BF144" s="116"/>
    </row>
    <row r="145" spans="1:58" ht="43.5" customHeight="1">
      <c r="A145" s="129"/>
      <c r="B145" s="116"/>
      <c r="C145" s="116"/>
      <c r="D145" s="148"/>
      <c r="E145" s="148"/>
      <c r="F145" s="148"/>
      <c r="G145" s="148"/>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c r="AI145" s="116"/>
      <c r="AJ145" s="116"/>
      <c r="AK145" s="116"/>
      <c r="AL145" s="116"/>
      <c r="AM145" s="116"/>
      <c r="AN145" s="116"/>
      <c r="AO145" s="116"/>
      <c r="AP145" s="116"/>
      <c r="AQ145" s="116"/>
      <c r="AR145" s="116"/>
      <c r="AS145" s="116"/>
      <c r="AT145" s="116"/>
      <c r="AU145" s="116"/>
      <c r="AV145" s="116"/>
      <c r="AW145" s="116"/>
      <c r="AX145" s="116"/>
      <c r="AY145" s="116"/>
      <c r="AZ145" s="116"/>
      <c r="BA145" s="116"/>
      <c r="BB145" s="116"/>
      <c r="BC145" s="116"/>
      <c r="BD145" s="116"/>
      <c r="BE145" s="116"/>
      <c r="BF145" s="116"/>
    </row>
    <row r="146" spans="1:58" ht="43.5" customHeight="1">
      <c r="A146" s="129"/>
      <c r="B146" s="116"/>
      <c r="C146" s="116"/>
      <c r="D146" s="148"/>
      <c r="E146" s="148"/>
      <c r="F146" s="148"/>
      <c r="G146" s="148"/>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c r="AI146" s="116"/>
      <c r="AJ146" s="116"/>
      <c r="AK146" s="116"/>
      <c r="AL146" s="116"/>
      <c r="AM146" s="116"/>
      <c r="AN146" s="116"/>
      <c r="AO146" s="116"/>
      <c r="AP146" s="116"/>
      <c r="AQ146" s="116"/>
      <c r="AR146" s="116"/>
      <c r="AS146" s="116"/>
      <c r="AT146" s="116"/>
      <c r="AU146" s="116"/>
      <c r="AV146" s="116"/>
      <c r="AW146" s="116"/>
      <c r="AX146" s="116"/>
      <c r="AY146" s="116"/>
      <c r="AZ146" s="116"/>
      <c r="BA146" s="116"/>
      <c r="BB146" s="116"/>
      <c r="BC146" s="116"/>
      <c r="BD146" s="116"/>
      <c r="BE146" s="116"/>
      <c r="BF146" s="116"/>
    </row>
    <row r="147" spans="1:58" ht="43.5" customHeight="1">
      <c r="A147" s="129"/>
      <c r="B147" s="116"/>
      <c r="C147" s="116"/>
      <c r="D147" s="148"/>
      <c r="E147" s="148"/>
      <c r="F147" s="148"/>
      <c r="G147" s="148"/>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c r="AI147" s="116"/>
      <c r="AJ147" s="116"/>
      <c r="AK147" s="116"/>
      <c r="AL147" s="116"/>
      <c r="AM147" s="116"/>
      <c r="AN147" s="116"/>
      <c r="AO147" s="116"/>
      <c r="AP147" s="116"/>
      <c r="AQ147" s="116"/>
      <c r="AR147" s="116"/>
      <c r="AS147" s="116"/>
      <c r="AT147" s="116"/>
      <c r="AU147" s="116"/>
      <c r="AV147" s="116"/>
      <c r="AW147" s="116"/>
      <c r="AX147" s="116"/>
      <c r="AY147" s="116"/>
      <c r="AZ147" s="116"/>
      <c r="BA147" s="116"/>
      <c r="BB147" s="116"/>
      <c r="BC147" s="116"/>
      <c r="BD147" s="116"/>
      <c r="BE147" s="116"/>
      <c r="BF147" s="116"/>
    </row>
    <row r="148" spans="1:58" ht="43.5" customHeight="1">
      <c r="A148" s="132"/>
      <c r="B148" s="116"/>
      <c r="C148" s="116"/>
      <c r="D148" s="148"/>
      <c r="E148" s="148"/>
      <c r="F148" s="148"/>
      <c r="G148" s="148"/>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c r="AI148" s="116"/>
      <c r="AJ148" s="116"/>
      <c r="AK148" s="116"/>
      <c r="AL148" s="116"/>
      <c r="AM148" s="116"/>
      <c r="AN148" s="116"/>
      <c r="AO148" s="116"/>
      <c r="AP148" s="116"/>
      <c r="AQ148" s="116"/>
      <c r="AR148" s="116"/>
      <c r="AS148" s="116"/>
      <c r="AT148" s="116"/>
      <c r="AU148" s="116"/>
      <c r="AV148" s="116"/>
      <c r="AW148" s="116"/>
      <c r="AX148" s="116"/>
      <c r="AY148" s="116"/>
      <c r="AZ148" s="116"/>
      <c r="BA148" s="116"/>
      <c r="BB148" s="116"/>
      <c r="BC148" s="116"/>
      <c r="BD148" s="116"/>
      <c r="BE148" s="116"/>
      <c r="BF148" s="116"/>
    </row>
    <row r="149" spans="1:58" ht="43.5" customHeight="1">
      <c r="A149" s="132"/>
      <c r="B149" s="116"/>
      <c r="C149" s="116"/>
      <c r="D149" s="148"/>
      <c r="E149" s="148"/>
      <c r="F149" s="148"/>
      <c r="G149" s="148"/>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c r="AH149" s="116"/>
      <c r="AI149" s="116"/>
      <c r="AJ149" s="116"/>
      <c r="AK149" s="116"/>
      <c r="AL149" s="116"/>
      <c r="AM149" s="116"/>
      <c r="AN149" s="116"/>
      <c r="AO149" s="116"/>
      <c r="AP149" s="116"/>
      <c r="AQ149" s="116"/>
      <c r="AR149" s="116"/>
      <c r="AS149" s="116"/>
      <c r="AT149" s="116"/>
      <c r="AU149" s="116"/>
      <c r="AV149" s="116"/>
      <c r="AW149" s="116"/>
      <c r="AX149" s="116"/>
      <c r="AY149" s="116"/>
      <c r="AZ149" s="116"/>
      <c r="BA149" s="116"/>
      <c r="BB149" s="116"/>
      <c r="BC149" s="116"/>
      <c r="BD149" s="116"/>
      <c r="BE149" s="116"/>
      <c r="BF149" s="116"/>
    </row>
    <row r="150" spans="1:58" ht="43.5" customHeight="1">
      <c r="A150" s="133"/>
      <c r="B150" s="116"/>
      <c r="C150" s="116"/>
      <c r="D150" s="148"/>
      <c r="E150" s="148"/>
      <c r="F150" s="148"/>
      <c r="G150" s="148"/>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c r="AH150" s="116"/>
      <c r="AI150" s="116"/>
      <c r="AJ150" s="116"/>
      <c r="AK150" s="116"/>
      <c r="AL150" s="116"/>
      <c r="AM150" s="116"/>
      <c r="AN150" s="116"/>
      <c r="AO150" s="116"/>
      <c r="AP150" s="116"/>
      <c r="AQ150" s="116"/>
      <c r="AR150" s="116"/>
      <c r="AS150" s="116"/>
      <c r="AT150" s="116"/>
      <c r="AU150" s="116"/>
      <c r="AV150" s="116"/>
      <c r="AW150" s="116"/>
      <c r="AX150" s="116"/>
      <c r="AY150" s="116"/>
      <c r="AZ150" s="116"/>
      <c r="BA150" s="116"/>
      <c r="BB150" s="116"/>
      <c r="BC150" s="116"/>
      <c r="BD150" s="116"/>
      <c r="BE150" s="116"/>
      <c r="BF150" s="116"/>
    </row>
    <row r="151" spans="1:58" ht="43.5" customHeight="1">
      <c r="A151" s="133"/>
      <c r="B151" s="116"/>
      <c r="C151" s="116"/>
      <c r="D151" s="148"/>
      <c r="E151" s="148"/>
      <c r="F151" s="148"/>
      <c r="G151" s="148"/>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c r="AH151" s="116"/>
      <c r="AI151" s="116"/>
      <c r="AJ151" s="116"/>
      <c r="AK151" s="116"/>
      <c r="AL151" s="116"/>
      <c r="AM151" s="116"/>
      <c r="AN151" s="116"/>
      <c r="AO151" s="116"/>
      <c r="AP151" s="116"/>
      <c r="AQ151" s="116"/>
      <c r="AR151" s="116"/>
      <c r="AS151" s="116"/>
      <c r="AT151" s="116"/>
      <c r="AU151" s="116"/>
      <c r="AV151" s="116"/>
      <c r="AW151" s="116"/>
      <c r="AX151" s="116"/>
      <c r="AY151" s="116"/>
      <c r="AZ151" s="116"/>
      <c r="BA151" s="116"/>
      <c r="BB151" s="116"/>
      <c r="BC151" s="116"/>
      <c r="BD151" s="116"/>
      <c r="BE151" s="116"/>
      <c r="BF151" s="116"/>
    </row>
    <row r="152" spans="1:58" ht="43.5" customHeight="1">
      <c r="A152" s="133"/>
      <c r="B152" s="116"/>
      <c r="C152" s="116"/>
      <c r="D152" s="148"/>
      <c r="E152" s="148"/>
      <c r="F152" s="148"/>
      <c r="G152" s="148"/>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c r="AH152" s="116"/>
      <c r="AI152" s="116"/>
      <c r="AJ152" s="116"/>
      <c r="AK152" s="116"/>
      <c r="AL152" s="116"/>
      <c r="AM152" s="116"/>
      <c r="AN152" s="116"/>
      <c r="AO152" s="116"/>
      <c r="AP152" s="116"/>
      <c r="AQ152" s="116"/>
      <c r="AR152" s="116"/>
      <c r="AS152" s="116"/>
      <c r="AT152" s="116"/>
      <c r="AU152" s="116"/>
      <c r="AV152" s="116"/>
      <c r="AW152" s="116"/>
      <c r="AX152" s="116"/>
      <c r="AY152" s="116"/>
      <c r="AZ152" s="116"/>
      <c r="BA152" s="116"/>
      <c r="BB152" s="116"/>
      <c r="BC152" s="116"/>
      <c r="BD152" s="116"/>
      <c r="BE152" s="116"/>
      <c r="BF152" s="116"/>
    </row>
  </sheetData>
  <sheetProtection algorithmName="SHA-512" hashValue="FvkE5EIW/Qigjaxb+oSXaiFky9kZWBQZ9jsJ613J+/AQIqbrmPoD8cmDynF3OyR7/7E4F4oFAGfVkDVrKDtlwA==" saltValue="KGDtBOASnZwiEYwBpmSShw==" spinCount="100000" sheet="1" objects="1" scenarios="1"/>
  <autoFilter ref="A8:BF142" xr:uid="{FF0FD833-DA25-49DC-8173-D7C8564C9878}"/>
  <mergeCells count="50">
    <mergeCell ref="A82:A83"/>
    <mergeCell ref="D6:G6"/>
    <mergeCell ref="D7:G7"/>
    <mergeCell ref="A72:A73"/>
    <mergeCell ref="A75:A81"/>
    <mergeCell ref="A13:B13"/>
    <mergeCell ref="A6:A8"/>
    <mergeCell ref="A22:A23"/>
    <mergeCell ref="A14:A16"/>
    <mergeCell ref="A17:A21"/>
    <mergeCell ref="A9:A12"/>
    <mergeCell ref="A64:A65"/>
    <mergeCell ref="A55:A58"/>
    <mergeCell ref="A35:A36"/>
    <mergeCell ref="A63:B63"/>
    <mergeCell ref="A34:B34"/>
    <mergeCell ref="AO6:AO8"/>
    <mergeCell ref="H7:L7"/>
    <mergeCell ref="M7:Q7"/>
    <mergeCell ref="R7:V7"/>
    <mergeCell ref="W7:AA7"/>
    <mergeCell ref="H6:Q6"/>
    <mergeCell ref="R6:AA6"/>
    <mergeCell ref="AL6:AN7"/>
    <mergeCell ref="AB6:AK6"/>
    <mergeCell ref="AB7:AF7"/>
    <mergeCell ref="AG7:AK7"/>
    <mergeCell ref="A111:A112"/>
    <mergeCell ref="A113:A114"/>
    <mergeCell ref="A115:A116"/>
    <mergeCell ref="A106:A110"/>
    <mergeCell ref="A84:A89"/>
    <mergeCell ref="A90:A95"/>
    <mergeCell ref="A96:A98"/>
    <mergeCell ref="A105:B105"/>
    <mergeCell ref="A130:A131"/>
    <mergeCell ref="A134:A135"/>
    <mergeCell ref="A122:A123"/>
    <mergeCell ref="A124:A125"/>
    <mergeCell ref="A117:A118"/>
    <mergeCell ref="A119:A121"/>
    <mergeCell ref="A132:A133"/>
    <mergeCell ref="A127:A128"/>
    <mergeCell ref="A60:A62"/>
    <mergeCell ref="A37:A39"/>
    <mergeCell ref="A47:A51"/>
    <mergeCell ref="A42:A46"/>
    <mergeCell ref="A26:A29"/>
    <mergeCell ref="A53:A54"/>
    <mergeCell ref="A52:B52"/>
  </mergeCells>
  <phoneticPr fontId="2" type="noConversion"/>
  <pageMargins left="0.7" right="0.7" top="0.75" bottom="0.75" header="0.3" footer="0.3"/>
  <pageSetup orientation="portrait" r:id="rId1"/>
  <ignoredErrors>
    <ignoredError sqref="AA75" formulaRange="1"/>
  </ignoredError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689b4b5-7069-4f87-a0fb-7ffa9fc42158" xsi:nil="true"/>
    <lcf76f155ced4ddcb4097134ff3c332f xmlns="059fd7f8-59e3-4ad4-b295-2c7569ffaa28">
      <Terms xmlns="http://schemas.microsoft.com/office/infopath/2007/PartnerControls"/>
    </lcf76f155ced4ddcb4097134ff3c332f>
    <Notes xmlns="059fd7f8-59e3-4ad4-b295-2c7569ffaa28" xsi:nil="true"/>
    <Note xmlns="059fd7f8-59e3-4ad4-b295-2c7569ffaa2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D42CB87088684C8C55529ACA400833" ma:contentTypeVersion="15" ma:contentTypeDescription="Create a new document." ma:contentTypeScope="" ma:versionID="116a614d5496bbbd47bb867636028f47">
  <xsd:schema xmlns:xsd="http://www.w3.org/2001/XMLSchema" xmlns:xs="http://www.w3.org/2001/XMLSchema" xmlns:p="http://schemas.microsoft.com/office/2006/metadata/properties" xmlns:ns2="059fd7f8-59e3-4ad4-b295-2c7569ffaa28" xmlns:ns3="e689b4b5-7069-4f87-a0fb-7ffa9fc42158" targetNamespace="http://schemas.microsoft.com/office/2006/metadata/properties" ma:root="true" ma:fieldsID="2fda7db35d65f605230d67fc195a5aa9" ns2:_="" ns3:_="">
    <xsd:import namespace="059fd7f8-59e3-4ad4-b295-2c7569ffaa28"/>
    <xsd:import namespace="e689b4b5-7069-4f87-a0fb-7ffa9fc421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BillingMetadata" minOccurs="0"/>
                <xsd:element ref="ns2:MediaLengthInSeconds" minOccurs="0"/>
                <xsd:element ref="ns2:Notes" minOccurs="0"/>
                <xsd:element ref="ns2:No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fd7f8-59e3-4ad4-b295-2c7569ffaa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6b69612-e2cc-4a46-9cbb-ded1a27764c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Notes" ma:index="21" nillable="true" ma:displayName="Notes" ma:description="Notes" ma:format="Dropdown" ma:internalName="Notes">
      <xsd:simpleType>
        <xsd:restriction base="dms:Note">
          <xsd:maxLength value="255"/>
        </xsd:restriction>
      </xsd:simpleType>
    </xsd:element>
    <xsd:element name="Note" ma:index="22" nillable="true" ma:displayName="Note" ma:format="Dropdown" ma:internalName="No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689b4b5-7069-4f87-a0fb-7ffa9fc4215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5aeca7-8615-4553-8952-3c3b4ac0334d}" ma:internalName="TaxCatchAll" ma:showField="CatchAllData" ma:web="e689b4b5-7069-4f87-a0fb-7ffa9fc421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441BF8-F257-49EE-99C1-FF4F670D09C3}">
  <ds:schemaRefs>
    <ds:schemaRef ds:uri="http://purl.org/dc/elements/1.1/"/>
    <ds:schemaRef ds:uri="e689b4b5-7069-4f87-a0fb-7ffa9fc42158"/>
    <ds:schemaRef ds:uri="http://schemas.microsoft.com/office/2006/documentManagement/types"/>
    <ds:schemaRef ds:uri="http://www.w3.org/XML/1998/namespace"/>
    <ds:schemaRef ds:uri="http://purl.org/dc/dcmitype/"/>
    <ds:schemaRef ds:uri="059fd7f8-59e3-4ad4-b295-2c7569ffaa28"/>
    <ds:schemaRef ds:uri="http://schemas.microsoft.com/office/infopath/2007/PartnerControls"/>
    <ds:schemaRef ds:uri="http://schemas.openxmlformats.org/package/2006/metadata/core-propertie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A5A2E045-8194-4DF4-AF94-5B802E4F28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fd7f8-59e3-4ad4-b295-2c7569ffaa28"/>
    <ds:schemaRef ds:uri="e689b4b5-7069-4f87-a0fb-7ffa9fc421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8ABC59-4B92-499E-809B-1276582C51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 LFA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Denah Fitzharris</dc:creator>
  <cp:keywords/>
  <dc:description/>
  <cp:lastModifiedBy>Devin Martens-Olzman</cp:lastModifiedBy>
  <cp:revision/>
  <dcterms:created xsi:type="dcterms:W3CDTF">2024-06-28T10:03:57Z</dcterms:created>
  <dcterms:modified xsi:type="dcterms:W3CDTF">2026-07-28T12:39:23Z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0x01010032D42CB87088684C8C55529ACA400833</vt:lpwstr>
  </property>
  <property fmtid="{D5CDD505-2E9C-101B-9397-08002B2CF9AE}" pid="3" name="MediaServiceImageTags">
    <vt:lpwstr/>
  </property>
</Properties>
</file>